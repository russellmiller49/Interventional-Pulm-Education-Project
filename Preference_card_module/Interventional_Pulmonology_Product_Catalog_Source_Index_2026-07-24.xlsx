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aec5f7401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9255614406c4a80"/>
    <x:sheet xmlns:r="http://schemas.openxmlformats.org/officeDocument/2006/relationships" name="Catalog Index" sheetId="2" r:id="Reea52ed3540140f1"/>
    <x:sheet xmlns:r="http://schemas.openxmlformats.org/officeDocument/2006/relationships" name="Coverage Summary" sheetId="3" r:id="R47c142efbfbf4d3e"/>
    <x:sheet xmlns:r="http://schemas.openxmlformats.org/officeDocument/2006/relationships" name="Priority Sources" sheetId="4" r:id="R01f3699f0a454da9"/>
    <x:sheet xmlns:r="http://schemas.openxmlformats.org/officeDocument/2006/relationships" name="Search Gaps" sheetId="5" r:id="Rafd30d9d0e5c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38761D"/>
      </x:patternFill>
    </x:fill>
    <x:fill>
      <x:patternFill patternType="solid">
        <x:fgColor rgb="FF4F81BD"/>
      </x:patternFill>
    </x:fill>
    <x:fill>
      <x:patternFill patternType="solid">
        <x:fgColor rgb="FFA61C00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3c901c56c4fb6" /><Relationship Type="http://schemas.openxmlformats.org/officeDocument/2006/relationships/theme" Target="/xl/theme/theme1.xml" Id="Rff71ed751ac64023" /><Relationship Type="http://schemas.openxmlformats.org/officeDocument/2006/relationships/sharedStrings" Target="/xl/sharedStrings.xml" Id="R5214388842f7441d" /><Relationship Type="http://schemas.openxmlformats.org/officeDocument/2006/relationships/worksheet" Target="/xl/worksheets/sheet1.xml" Id="Rb9255614406c4a80" /><Relationship Type="http://schemas.openxmlformats.org/officeDocument/2006/relationships/worksheet" Target="/xl/worksheets/sheet2.xml" Id="Reea52ed3540140f1" /><Relationship Type="http://schemas.openxmlformats.org/officeDocument/2006/relationships/worksheet" Target="/xl/worksheets/sheet3.xml" Id="R47c142efbfbf4d3e" /><Relationship Type="http://schemas.openxmlformats.org/officeDocument/2006/relationships/worksheet" Target="/xl/worksheets/sheet4.xml" Id="R01f3699f0a454da9" /><Relationship Type="http://schemas.openxmlformats.org/officeDocument/2006/relationships/worksheet" Target="/xl/worksheets/sheet5.xml" Id="Rafd30d9d0e5c4004" /></Relationships>
</file>

<file path=xl/tables/table1.xml><?xml version="1.0" encoding="utf-8"?>
<x:table xmlns:x="http://schemas.openxmlformats.org/spreadsheetml/2006/main" id="1" name="IPCatalogSources" displayName="IPCatalogSources" ref="A1:N109" headerRowCount="1">
  <x:tableColumns count="14">
    <x:tableColumn id="1" name="Category"/>
    <x:tableColumn id="2" name="Subcategory"/>
    <x:tableColumn id="3" name="Manufacturer"/>
    <x:tableColumn id="4" name="Catalog / Resource"/>
    <x:tableColumn id="5" name="Resource Type"/>
    <x:tableColumn id="6" name="Asset Class"/>
    <x:tableColumn id="7" name="Clinical Use"/>
    <x:tableColumn id="8" name="U.S. Relevance"/>
    <x:tableColumn id="9" name="Currentness / Date"/>
    <x:tableColumn id="10" name="Official Source"/>
    <x:tableColumn id="11" name="Priority"/>
    <x:tableColumn id="12" name="Notes / Cautions"/>
    <x:tableColumn id="13" name="Source URL"/>
    <x:tableColumn id="14" name="Verified"/>
  </x:tableColumns>
  <x:tableStyleInfo name="TableStyleMedium2" showRowStripes="1"/>
</x:table>
</file>

<file path=xl/tables/table2.xml><?xml version="1.0" encoding="utf-8"?>
<x:table xmlns:x="http://schemas.openxmlformats.org/spreadsheetml/2006/main" id="2" name="PrioritySources" displayName="PrioritySources" ref="A1:N69" headerRowCount="1">
  <x:tableColumns count="14">
    <x:tableColumn id="1" name="Category"/>
    <x:tableColumn id="2" name="Subcategory"/>
    <x:tableColumn id="3" name="Manufacturer"/>
    <x:tableColumn id="4" name="Catalog / Resource"/>
    <x:tableColumn id="5" name="Resource Type"/>
    <x:tableColumn id="6" name="Asset Class"/>
    <x:tableColumn id="7" name="Clinical Use"/>
    <x:tableColumn id="8" name="U.S. Relevance"/>
    <x:tableColumn id="9" name="Currentness / Date"/>
    <x:tableColumn id="10" name="Official Source"/>
    <x:tableColumn id="11" name="Priority"/>
    <x:tableColumn id="12" name="Notes / Cautions"/>
    <x:tableColumn id="13" name="Source URL"/>
    <x:tableColumn id="14" name="Verifi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8eea248dfc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9ca17a7bcb9437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INTERVENTIONAL PULMONOLOGY PRODUCT CATALOG SOURCE INDEX</x:v>
      </x:c>
      <x:c r="B1" s="5" t="str"/>
    </x:row>
    <x:row r="2" ht="28" customHeight="1">
      <x:c r="A2" s="12" t="str">
        <x:v>Purpose</x:v>
      </x:c>
      <x:c r="B2" s="16" t="str">
        <x:v>Manufacturer catalogs, product brochures, ordering guides, product pages and supporting technical resources for an interventional pulmonary service.</x:v>
      </x:c>
    </x:row>
    <x:row r="3" ht="28" customHeight="1">
      <x:c r="A3" s="12" t="str">
        <x:v>Search date</x:v>
      </x:c>
      <x:c r="B3" s="16" t="str">
        <x:v>2026-07-24</x:v>
      </x:c>
    </x:row>
    <x:row r="4" ht="28" customHeight="1">
      <x:c r="A4" s="12" t="str">
        <x:v>Scope</x:v>
      </x:c>
      <x:c r="B4" s="16" t="str">
        <x:v>Capital equipment, reusable instruments, disposable supplies, implants, navigation/imaging systems, pleural drainage, tracheostomy, and endoscope reprocessing.</x:v>
      </x:c>
    </x:row>
    <x:row r="5" ht="28" customHeight="1">
      <x:c r="A5" s="12" t="str">
        <x:v>Status rule</x:v>
      </x:c>
      <x:c r="B5" s="16" t="str">
        <x:v>A catalog listing does not establish current FDA clearance, active U.S. commercialization, contract availability, or compatibility. Confirm each item against current U.S. labeling and vendor quotation.</x:v>
      </x:c>
    </x:row>
    <x:row r="6" ht="28" customHeight="1">
      <x:c r="A6" s="12" t="str">
        <x:v>Priority labels</x:v>
      </x:c>
      <x:c r="B6" s="16" t="str">
        <x:v>1-Core = primary procurement/source document; 2-Secondary = useful supporting resource; 3-Legacy/verify = historical, OUS, mirrored or uncertain currentness; 4-Do not procure = safety/recall flag.</x:v>
      </x:c>
    </x:row>
    <x:row r="7" ht="28" customHeight="1">
      <x:c r="A7" s="12" t="str">
        <x:v>U.S. relevance</x:v>
      </x:c>
      <x:c r="B7" s="16" t="str">
        <x:v>Rows labeled global/OUS/verify are included to identify equipment families and gaps, not as evidence of U.S. availability.</x:v>
      </x:c>
    </x:row>
    <x:row r="8" ht="28" customHeight="1">
      <x:c r="A8" s="12" t="str">
        <x:v>Duplicate handling</x:v>
      </x:c>
      <x:c r="B8" s="16" t="str">
        <x:v>Some manufacturers publish multiple URLs that resolve to the same master catalog. The index keeps the best canonical document and notes known duplicates.</x:v>
      </x:c>
    </x:row>
    <x:row r="9" ht="28" customHeight="1">
      <x:c r="A9" s="12" t="str">
        <x:v>Critical safety flag</x:v>
      </x:c>
      <x:c r="B9" s="16" t="str">
        <x:v>Olympus ViziShot 2 FLEX is retained only as a historical lineage row and is marked Do not procure because of the January 2026 expanded removal notice.</x:v>
      </x:c>
    </x:row>
    <x:row r="10" ht="28" customHeight="1">
      <x:c r="A10" s="12" t="str">
        <x:v>Suggested workflow</x:v>
      </x:c>
      <x:c r="B10" s="16" t="str">
        <x:v>Filter Priority = 1-Core, then U.S. Relevance = U.S. to seed the active procurement catalog. Route all 3-Legacy/verify rows to regulatory/commercial verification before product-level extraction.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6" hidden="0" customWidth="1"/>
    <x:col min="7" max="7" width="44" hidden="0" customWidth="1"/>
    <x:col min="8" max="8" width="26" hidden="0" customWidth="1"/>
    <x:col min="9" max="9" width="26" hidden="0" customWidth="1"/>
    <x:col min="10" max="10" width="16" hidden="0" customWidth="1"/>
    <x:col min="11" max="11" width="18" hidden="0" customWidth="1"/>
    <x:col min="12" max="12" width="52" hidden="0" customWidth="1"/>
    <x:col min="13" max="13" width="62" hidden="0" customWidth="1"/>
    <x:col min="14" max="14" width="14" hidden="0" customWidth="1"/>
  </x:cols>
  <x:sheetData>
    <x:row r="1">
      <x:c r="A1" s="21" t="str">
        <x:v>Category</x:v>
      </x:c>
      <x:c r="B1" s="21" t="str">
        <x:v>Subcategory</x:v>
      </x:c>
      <x:c r="C1" s="21" t="str">
        <x:v>Manufacturer</x:v>
      </x:c>
      <x:c r="D1" s="21" t="str">
        <x:v>Catalog / Resource</x:v>
      </x:c>
      <x:c r="E1" s="21" t="str">
        <x:v>Resource Type</x:v>
      </x:c>
      <x:c r="F1" s="21" t="str">
        <x:v>Asset Class</x:v>
      </x:c>
      <x:c r="G1" s="21" t="str">
        <x:v>Clinical Use</x:v>
      </x:c>
      <x:c r="H1" s="21" t="str">
        <x:v>U.S. Relevance</x:v>
      </x:c>
      <x:c r="I1" s="21" t="str">
        <x:v>Currentness / Date</x:v>
      </x:c>
      <x:c r="J1" s="21" t="str">
        <x:v>Official Source</x:v>
      </x:c>
      <x:c r="K1" s="21" t="str">
        <x:v>Priority</x:v>
      </x:c>
      <x:c r="L1" s="21" t="str">
        <x:v>Notes / Cautions</x:v>
      </x:c>
      <x:c r="M1" s="21" t="str">
        <x:v>Source URL</x:v>
      </x:c>
      <x:c r="N1" s="21" t="str">
        <x:v>Verified</x:v>
      </x:c>
    </x:row>
    <x:row r="2">
      <x:c r="A2" s="16" t="str">
        <x:v>Core catalogs</x:v>
      </x:c>
      <x:c r="B2" s="16" t="str">
        <x:v>Endoscopy devices</x:v>
      </x:c>
      <x:c r="C2" s="16" t="str">
        <x:v>Olympus</x:v>
      </x:c>
      <x:c r="D2" s="16" t="str">
        <x:v>Endoscopic Devices Product Catalog (2024 interactive)</x:v>
      </x:c>
      <x:c r="E2" s="16" t="str">
        <x:v>Catalog PDF</x:v>
      </x:c>
      <x:c r="F2" s="16" t="str">
        <x:v>Mostly disposable/reusable accessories</x:v>
      </x:c>
      <x:c r="G2" s="16" t="str">
        <x:v>Biopsy forceps, brushes, needles, graspers, baskets, balloons, valves and endotherapy accessories</x:v>
      </x:c>
      <x:c r="H2" s="16" t="str">
        <x:v>U.S.</x:v>
      </x:c>
      <x:c r="I2" s="16" t="str">
        <x:v>2024; current catalog family</x:v>
      </x:c>
      <x:c r="J2" s="16" t="str">
        <x:v>Yes</x:v>
      </x:c>
      <x:c r="K2" s="16" t="str">
        <x:v>1-Core</x:v>
      </x:c>
      <x:c r="L2" s="16" t="str">
        <x:v>Primary Olympus ordering/specification source; respiratory products are embedded in a broader endoscopy catalog.</x:v>
      </x:c>
      <x:c r="M2" s="16" t="str">
        <x:v>https://medical.olympusamerica.com/sites/default/files/us/files/pdf/OAIET0124CAT51005_EndoTherapy%20Catalog_Interactive_2024.pdf</x:v>
      </x:c>
      <x:c r="N2" s="26" t="str">
        <x:v>2026-07-24</x:v>
      </x:c>
    </x:row>
    <x:row r="3">
      <x:c r="A3" s="16" t="str">
        <x:v>Core catalogs</x:v>
      </x:c>
      <x:c r="B3" s="16" t="str">
        <x:v>Pulmonary endoscopy</x:v>
      </x:c>
      <x:c r="C3" s="16" t="str">
        <x:v>Boston Scientific</x:v>
      </x:c>
      <x:c r="D3" s="16" t="str">
        <x:v>Products for Pulmonary Endoscopy</x:v>
      </x:c>
      <x:c r="E3" s="16" t="str">
        <x:v>Portfolio brochure PDF</x:v>
      </x:c>
      <x:c r="F3" s="16" t="str">
        <x:v>Both</x:v>
      </x:c>
      <x:c r="G3" s="16" t="str">
        <x:v>Sampling, dilation, retrieval, airway stents and other pulmonary endoscopy devices</x:v>
      </x:c>
      <x:c r="H3" s="16" t="str">
        <x:v>U.S.</x:v>
      </x:c>
      <x:c r="I3" s="16" t="str">
        <x:v>Current portfolio brochure</x:v>
      </x:c>
      <x:c r="J3" s="16" t="str">
        <x:v>Yes</x:v>
      </x:c>
      <x:c r="K3" s="16" t="str">
        <x:v>1-Core</x:v>
      </x:c>
      <x:c r="L3" s="16" t="str">
        <x:v>High-yield pulmonary portfolio overview.</x:v>
      </x:c>
      <x:c r="M3" s="16" t="str">
        <x:v>https://www.bostonscientific.com/content/dam/bostonscientific/endo/portfolio-group/ENDO-62108-AF-Pulmonary_Product_Family_Brochure.pdf</x:v>
      </x:c>
      <x:c r="N3" s="26" t="str">
        <x:v>2026-07-24</x:v>
      </x:c>
    </x:row>
    <x:row r="4">
      <x:c r="A4" s="16" t="str">
        <x:v>Core catalogs</x:v>
      </x:c>
      <x:c r="B4" s="16" t="str">
        <x:v>Endoscopy reference</x:v>
      </x:c>
      <x:c r="C4" s="16" t="str">
        <x:v>Boston Scientific</x:v>
      </x:c>
      <x:c r="D4" s="16" t="str">
        <x:v>Endoscopy 2026 Product Reference Guide</x:v>
      </x:c>
      <x:c r="E4" s="16" t="str">
        <x:v>Reference guide PDF</x:v>
      </x:c>
      <x:c r="F4" s="16" t="str">
        <x:v>Both</x:v>
      </x:c>
      <x:c r="G4" s="16" t="str">
        <x:v>Current endoscopy portfolio including pulmonary products and single-use bronchoscopy</x:v>
      </x:c>
      <x:c r="H4" s="16" t="str">
        <x:v>U.S.</x:v>
      </x:c>
      <x:c r="I4" s="16" t="str">
        <x:v>2026</x:v>
      </x:c>
      <x:c r="J4" s="16" t="str">
        <x:v>Yes</x:v>
      </x:c>
      <x:c r="K4" s="16" t="str">
        <x:v>1-Core</x:v>
      </x:c>
      <x:c r="L4" s="16" t="str">
        <x:v>Best current Boston Scientific master reference guide found.</x:v>
      </x:c>
      <x:c r="M4" s="16" t="str">
        <x:v>https://www.bostonscientific.com/content/dam/bostonscientific/endo/general/reference-guide/Endoscopy-2026-Product-Reference-Guide-Interactive.pdf</x:v>
      </x:c>
      <x:c r="N4" s="26" t="str">
        <x:v>2026-07-24</x:v>
      </x:c>
    </x:row>
    <x:row r="5">
      <x:c r="A5" s="16" t="str">
        <x:v>Core catalogs</x:v>
      </x:c>
      <x:c r="B5" s="16" t="str">
        <x:v>Pulmonary endoscopy</x:v>
      </x:c>
      <x:c r="C5" s="16" t="str">
        <x:v>Boston Scientific</x:v>
      </x:c>
      <x:c r="D5" s="16" t="str">
        <x:v>Advanced Bronchoscopy / Pulmonary Family Brochure</x:v>
      </x:c>
      <x:c r="E5" s="16" t="str">
        <x:v>Portfolio brochure PDF</x:v>
      </x:c>
      <x:c r="F5" s="16" t="str">
        <x:v>Both</x:v>
      </x:c>
      <x:c r="G5" s="16" t="str">
        <x:v>TBNA, cytology brushes, forceps, balloon dilation, retrieval, stents and bronchial thermoplasty</x:v>
      </x:c>
      <x:c r="H5" s="16" t="str">
        <x:v>U.S.</x:v>
      </x:c>
      <x:c r="I5" s="16" t="str">
        <x:v>2017-2018; legacy</x:v>
      </x:c>
      <x:c r="J5" s="16" t="str">
        <x:v>Yes</x:v>
      </x:c>
      <x:c r="K5" s="16" t="str">
        <x:v>3-Legacy/verify</x:v>
      </x:c>
      <x:c r="L5" s="16" t="str">
        <x:v>Useful historical SKU source; verify every item against the 2026 guide.</x:v>
      </x:c>
      <x:c r="M5" s="16" t="str">
        <x:v>https://www.bostonscientific.com/content/dam/bostonscientific/endo/portfolio-group/excelon-transbronchial-aspiration-needle/Pulmonary-Family-Brochure_2018.pdf</x:v>
      </x:c>
      <x:c r="N5" s="26" t="str">
        <x:v>2026-07-24</x:v>
      </x:c>
    </x:row>
    <x:row r="6">
      <x:c r="A6" s="16" t="str">
        <x:v>Core catalogs</x:v>
      </x:c>
      <x:c r="B6" s="16" t="str">
        <x:v>All products</x:v>
      </x:c>
      <x:c r="C6" s="16" t="str">
        <x:v>Cook Medical</x:v>
      </x:c>
      <x:c r="D6" s="16" t="str">
        <x:v>Cook Medical Products Catalog</x:v>
      </x:c>
      <x:c r="E6" s="16" t="str">
        <x:v>Online catalog</x:v>
      </x:c>
      <x:c r="F6" s="16" t="str">
        <x:v>Both</x:v>
      </x:c>
      <x:c r="G6" s="16" t="str">
        <x:v>Airway, endobronchial needles, biopsy, forceps, drainage, pneumothorax and pleural products</x:v>
      </x:c>
      <x:c r="H6" s="16" t="str">
        <x:v>U.S./global</x:v>
      </x:c>
      <x:c r="I6" s="16" t="str">
        <x:v>Live online catalog</x:v>
      </x:c>
      <x:c r="J6" s="16" t="str">
        <x:v>Yes</x:v>
      </x:c>
      <x:c r="K6" s="16" t="str">
        <x:v>1-Core</x:v>
      </x:c>
      <x:c r="L6" s="16" t="str">
        <x:v>Filterable master product catalog; use product pages for current specifications.</x:v>
      </x:c>
      <x:c r="M6" s="16" t="str">
        <x:v>https://www.cookmedical.com/products/</x:v>
      </x:c>
      <x:c r="N6" s="26" t="str">
        <x:v>2026-07-24</x:v>
      </x:c>
    </x:row>
    <x:row r="7">
      <x:c r="A7" s="16" t="str">
        <x:v>Core catalogs</x:v>
      </x:c>
      <x:c r="B7" s="16" t="str">
        <x:v>Endoscopy devices</x:v>
      </x:c>
      <x:c r="C7" s="16" t="str">
        <x:v>MICRO-TECH Endoscopy</x:v>
      </x:c>
      <x:c r="D7" s="16" t="str">
        <x:v>Endoscopy Product Catalog</x:v>
      </x:c>
      <x:c r="E7" s="16" t="str">
        <x:v>Catalog PDF</x:v>
      </x:c>
      <x:c r="F7" s="16" t="str">
        <x:v>Mostly disposable</x:v>
      </x:c>
      <x:c r="G7" s="16" t="str">
        <x:v>Airway stents, biopsy forceps, cytology brushes, retrieval devices, dilation and accessories</x:v>
      </x:c>
      <x:c r="H7" s="16" t="str">
        <x:v>Global; verify U.S.</x:v>
      </x:c>
      <x:c r="I7" s="16" t="str">
        <x:v>Current web-hosted catalog; date not stated</x:v>
      </x:c>
      <x:c r="J7" s="16" t="str">
        <x:v>Yes</x:v>
      </x:c>
      <x:c r="K7" s="16" t="str">
        <x:v>1-Core</x:v>
      </x:c>
      <x:c r="L7" s="16" t="str">
        <x:v>Several product-specific catalog URLs resolve to the same 42-page master document; deduplicate by document content.</x:v>
      </x:c>
      <x:c r="M7" s="16" t="str">
        <x:v>https://www.micro-tech-medical.com/uploads/file/micro-tech-endoscopy-product-catalog.pdf</x:v>
      </x:c>
      <x:c r="N7" s="26" t="str">
        <x:v>2026-07-24</x:v>
      </x:c>
    </x:row>
    <x:row r="8">
      <x:c r="A8" s="16" t="str">
        <x:v>Core catalogs</x:v>
      </x:c>
      <x:c r="B8" s="16" t="str">
        <x:v>Thoracic endoscopy</x:v>
      </x:c>
      <x:c r="C8" s="16" t="str">
        <x:v>Richard Wolf</x:v>
      </x:c>
      <x:c r="D8" s="16" t="str">
        <x:v>Bronchoscopy / Thoracoscopy / Mediastinoscopy</x:v>
      </x:c>
      <x:c r="E8" s="16" t="str">
        <x:v>Catalog PDF</x:v>
      </x:c>
      <x:c r="F8" s="16" t="str">
        <x:v>Mostly capital/reusable</x:v>
      </x:c>
      <x:c r="G8" s="16" t="str">
        <x:v>Rigid bronchoscopy, flexible bronchoscopy, thoracoscopy, mediastinoscopy and instruments</x:v>
      </x:c>
      <x:c r="H8" s="16" t="str">
        <x:v>Global; U.S. company present</x:v>
      </x:c>
      <x:c r="I8" s="16" t="str">
        <x:v>Current official catalog page; PDF edition date unclear</x:v>
      </x:c>
      <x:c r="J8" s="16" t="str">
        <x:v>Yes</x:v>
      </x:c>
      <x:c r="K8" s="16" t="str">
        <x:v>1-Core</x:v>
      </x:c>
      <x:c r="L8" s="16" t="str">
        <x:v>Primary Richard Wolf thoracic-endoscopy catalog.</x:v>
      </x:c>
      <x:c r="M8" s="16" t="str">
        <x:v>https://www.richard-wolf.com/mam/data/Typo3/Kataloge/Broncho-_Thorako-_Mediastinoskopie/Thorakale_Endoskopie_en.pdf</x:v>
      </x:c>
      <x:c r="N8" s="26" t="str">
        <x:v>2026-07-24</x:v>
      </x:c>
    </x:row>
    <x:row r="9">
      <x:c r="A9" s="16" t="str">
        <x:v>Core catalogs</x:v>
      </x:c>
      <x:c r="B9" s="16" t="str">
        <x:v>Endoscopy systems</x:v>
      </x:c>
      <x:c r="C9" s="16" t="str">
        <x:v>KARL STORZ</x:v>
      </x:c>
      <x:c r="D9" s="16" t="str">
        <x:v>Online Catalog</x:v>
      </x:c>
      <x:c r="E9" s="16" t="str">
        <x:v>Online catalog</x:v>
      </x:c>
      <x:c r="F9" s="16" t="str">
        <x:v>Mostly capital/reusable</x:v>
      </x:c>
      <x:c r="G9" s="16" t="str">
        <x:v>Adult/pediatric rigid bronchoscopy, flexible bronchoscopy, thoracoscopy and instruments</x:v>
      </x:c>
      <x:c r="H9" s="16" t="str">
        <x:v>Global; verify U.S. configuration</x:v>
      </x:c>
      <x:c r="I9" s="16" t="str">
        <x:v>Live online catalog</x:v>
      </x:c>
      <x:c r="J9" s="16" t="str">
        <x:v>Yes</x:v>
      </x:c>
      <x:c r="K9" s="16" t="str">
        <x:v>1-Core</x:v>
      </x:c>
      <x:c r="L9" s="16" t="str">
        <x:v>Use country selector and local representative to confirm U.S. catalog numbers.</x:v>
      </x:c>
      <x:c r="M9" s="16" t="str">
        <x:v>https://www.karlstorz.com/de/en/online-catalog.htm</x:v>
      </x:c>
      <x:c r="N9" s="26" t="str">
        <x:v>2026-07-24</x:v>
      </x:c>
    </x:row>
    <x:row r="10">
      <x:c r="A10" s="16" t="str">
        <x:v>Core catalogs</x:v>
      </x:c>
      <x:c r="B10" s="16" t="str">
        <x:v>Bronchoscopes and EBUS</x:v>
      </x:c>
      <x:c r="C10" s="16" t="str">
        <x:v>PENTAX Medical</x:v>
      </x:c>
      <x:c r="D10" s="16" t="str">
        <x:v>Endoscopes Product Catalog</x:v>
      </x:c>
      <x:c r="E10" s="16" t="str">
        <x:v>Online catalog</x:v>
      </x:c>
      <x:c r="F10" s="16" t="str">
        <x:v>Capital and single-use scopes</x:v>
      </x:c>
      <x:c r="G10" s="16" t="str">
        <x:v>Reusable/single-use bronchoscopes and EBUS endoscopes</x:v>
      </x:c>
      <x:c r="H10" s="16" t="str">
        <x:v>Global; U.S. pages available</x:v>
      </x:c>
      <x:c r="I10" s="16" t="str">
        <x:v>Live</x:v>
      </x:c>
      <x:c r="J10" s="16" t="str">
        <x:v>Yes</x:v>
      </x:c>
      <x:c r="K10" s="16" t="str">
        <x:v>1-Core</x:v>
      </x:c>
      <x:c r="L10" s="16" t="str">
        <x:v>Includes links to regional online catalog and individual scope pages.</x:v>
      </x:c>
      <x:c r="M10" s="16" t="str">
        <x:v>https://www.pentaxmedical.com/en/products/endoscopes</x:v>
      </x:c>
      <x:c r="N10" s="26" t="str">
        <x:v>2026-07-24</x:v>
      </x:c>
    </x:row>
    <x:row r="11">
      <x:c r="A11" s="16" t="str">
        <x:v>Core catalogs</x:v>
      </x:c>
      <x:c r="B11" s="16" t="str">
        <x:v>Pulmonology</x:v>
      </x:c>
      <x:c r="C11" s="16" t="str">
        <x:v>FUJIFILM Healthcare Americas</x:v>
      </x:c>
      <x:c r="D11" s="16" t="str">
        <x:v>Pulmonology Bronchoscope Portfolio</x:v>
      </x:c>
      <x:c r="E11" s="16" t="str">
        <x:v>Portfolio webpage</x:v>
      </x:c>
      <x:c r="F11" s="16" t="str">
        <x:v>Capital/reusable</x:v>
      </x:c>
      <x:c r="G11" s="16" t="str">
        <x:v>Video bronchoscopes, EBUS scopes and pulmonary imaging</x:v>
      </x:c>
      <x:c r="H11" s="16" t="str">
        <x:v>U.S.</x:v>
      </x:c>
      <x:c r="I11" s="16" t="str">
        <x:v>Live</x:v>
      </x:c>
      <x:c r="J11" s="16" t="str">
        <x:v>Yes</x:v>
      </x:c>
      <x:c r="K11" s="16" t="str">
        <x:v>1-Core</x:v>
      </x:c>
      <x:c r="L11" s="16" t="str">
        <x:v>Current U.S. portfolio page; no single current master PDF located.</x:v>
      </x:c>
      <x:c r="M11" s="16" t="str">
        <x:v>https://healthcaresolutions-us.fujifilm.com/products/endoscopy/pulmonology/bronchoscopes/</x:v>
      </x:c>
      <x:c r="N11" s="26" t="str">
        <x:v>2026-07-24</x:v>
      </x:c>
    </x:row>
    <x:row r="12">
      <x:c r="A12" s="16" t="str">
        <x:v>Core catalogs</x:v>
      </x:c>
      <x:c r="B12" s="16" t="str">
        <x:v>Interventional pulmonology</x:v>
      </x:c>
      <x:c r="C12" s="16" t="str">
        <x:v>NOVATECH</x:v>
      </x:c>
      <x:c r="D12" s="16" t="str">
        <x:v>Current Product Catalogs Download Center</x:v>
      </x:c>
      <x:c r="E12" s="16" t="str">
        <x:v>Catalog landing page</x:v>
      </x:c>
      <x:c r="F12" s="16" t="str">
        <x:v>Both</x:v>
      </x:c>
      <x:c r="G12" s="16" t="str">
        <x:v>Silicone airway stents, rigid bronchoscopy, talc pleurodesis, individualized stents and EWS spigots</x:v>
      </x:c>
      <x:c r="H12" s="16" t="str">
        <x:v>Global; verify U.S. availability</x:v>
      </x:c>
      <x:c r="I12" s="16" t="str">
        <x:v>Live</x:v>
      </x:c>
      <x:c r="J12" s="16" t="str">
        <x:v>Yes</x:v>
      </x:c>
      <x:c r="K12" s="16" t="str">
        <x:v>1-Core</x:v>
      </x:c>
      <x:c r="L12" s="16" t="str">
        <x:v>Central source for five separate interventional-pulmonology catalogs.</x:v>
      </x:c>
      <x:c r="M12" s="16" t="str">
        <x:v>https://novatech.fr/en/catalogs</x:v>
      </x:c>
      <x:c r="N12" s="26" t="str">
        <x:v>2026-07-24</x:v>
      </x:c>
    </x:row>
    <x:row r="13">
      <x:c r="A13" s="16" t="str">
        <x:v>Core catalogs</x:v>
      </x:c>
      <x:c r="B13" s="16" t="str">
        <x:v>Interventional pulmonology</x:v>
      </x:c>
      <x:c r="C13" s="16" t="str">
        <x:v>ERBE</x:v>
      </x:c>
      <x:c r="D13" s="16" t="str">
        <x:v>Interventional Pulmonology Application Brochure</x:v>
      </x:c>
      <x:c r="E13" s="16" t="str">
        <x:v>Application brochure PDF</x:v>
      </x:c>
      <x:c r="F13" s="16" t="str">
        <x:v>Both</x:v>
      </x:c>
      <x:c r="G13" s="16" t="str">
        <x:v>VIO electrosurgery, APC, ERBECRYO 2, probes and pulmonary applications</x:v>
      </x:c>
      <x:c r="H13" s="16" t="str">
        <x:v>Global/U.S. product family</x:v>
      </x:c>
      <x:c r="I13" s="16" t="str">
        <x:v>Current web-hosted brochure</x:v>
      </x:c>
      <x:c r="J13" s="16" t="str">
        <x:v>Yes</x:v>
      </x:c>
      <x:c r="K13" s="16" t="str">
        <x:v>1-Core</x:v>
      </x:c>
      <x:c r="L13" s="16" t="str">
        <x:v>Best single ERBE source for pulmonary equipment plus disposables.</x:v>
      </x:c>
      <x:c r="M13" s="16" t="str">
        <x:v>https://register.erbe-med.com/productfinder/Marketingmaterialien/85800-133_ERBE_EN_Application_brochure_pneumology__D071914.pdf</x:v>
      </x:c>
      <x:c r="N13" s="26" t="str">
        <x:v>2026-07-24</x:v>
      </x:c>
    </x:row>
    <x:row r="14">
      <x:c r="A14" s="16" t="str">
        <x:v>Core catalogs</x:v>
      </x:c>
      <x:c r="B14" s="16" t="str">
        <x:v>Lung health</x:v>
      </x:c>
      <x:c r="C14" s="16" t="str">
        <x:v>Medtronic</x:v>
      </x:c>
      <x:c r="D14" s="16" t="str">
        <x:v>Lung Health &amp; Thoracic Surgery Portfolio</x:v>
      </x:c>
      <x:c r="E14" s="16" t="str">
        <x:v>Portfolio webpage</x:v>
      </x:c>
      <x:c r="F14" s="16" t="str">
        <x:v>Both</x:v>
      </x:c>
      <x:c r="G14" s="16" t="str">
        <x:v>Navigation, lung biopsy, ablation, tracheostomy and thoracic products</x:v>
      </x:c>
      <x:c r="H14" s="16" t="str">
        <x:v>U.S.</x:v>
      </x:c>
      <x:c r="I14" s="16" t="str">
        <x:v>Live</x:v>
      </x:c>
      <x:c r="J14" s="16" t="str">
        <x:v>Yes</x:v>
      </x:c>
      <x:c r="K14" s="16" t="str">
        <x:v>1-Core</x:v>
      </x:c>
      <x:c r="L14" s="16" t="str">
        <x:v>Use as a gateway to ILLUMISITE, superDimension, GenCut, Emprint and Shiley resources.</x:v>
      </x:c>
      <x:c r="M14" s="16" t="str">
        <x:v>https://www.medtronic.com/covidien/en-us/clinical-solutions/lung-health.html</x:v>
      </x:c>
      <x:c r="N14" s="26" t="str">
        <x:v>2026-07-24</x:v>
      </x:c>
    </x:row>
    <x:row r="15">
      <x:c r="A15" s="16" t="str">
        <x:v>Core catalogs</x:v>
      </x:c>
      <x:c r="B15" s="16" t="str">
        <x:v>Pleural and pulmonary</x:v>
      </x:c>
      <x:c r="C15" s="16" t="str">
        <x:v>Merit Medical</x:v>
      </x:c>
      <x:c r="D15" s="16" t="str">
        <x:v>Tracheobronchial Stents Catalog</x:v>
      </x:c>
      <x:c r="E15" s="16" t="str">
        <x:v>Catalog brochure PDF</x:v>
      </x:c>
      <x:c r="F15" s="16" t="str">
        <x:v>Both</x:v>
      </x:c>
      <x:c r="G15" s="16" t="str">
        <x:v>AERO, AEROmini, AERO DV stents and delivery accessories</x:v>
      </x:c>
      <x:c r="H15" s="16" t="str">
        <x:v>U.S.</x:v>
      </x:c>
      <x:c r="I15" s="16" t="str">
        <x:v>Current catalog numbers</x:v>
      </x:c>
      <x:c r="J15" s="16" t="str">
        <x:v>Yes</x:v>
      </x:c>
      <x:c r="K15" s="16" t="str">
        <x:v>1-Core</x:v>
      </x:c>
      <x:c r="L15" s="16" t="str">
        <x:v>Contains detailed dimensions and catalog numbers.</x:v>
      </x:c>
      <x:c r="M15" s="16" t="str">
        <x:v>https://cloud.merit.com/catalog/Brochures/401871001.pdf</x:v>
      </x:c>
      <x:c r="N15" s="26" t="str">
        <x:v>2026-07-24</x:v>
      </x:c>
    </x:row>
    <x:row r="16">
      <x:c r="A16" s="16" t="str">
        <x:v>Core catalogs</x:v>
      </x:c>
      <x:c r="B16" s="16" t="str">
        <x:v>Pleural drainage</x:v>
      </x:c>
      <x:c r="C16" s="16" t="str">
        <x:v>Teleflex</x:v>
      </x:c>
      <x:c r="D16" s="16" t="str">
        <x:v>Arrow Diagnostic and Drainage Products</x:v>
      </x:c>
      <x:c r="E16" s="16" t="str">
        <x:v>Portfolio brochure PDF</x:v>
      </x:c>
      <x:c r="F16" s="16" t="str">
        <x:v>Disposable</x:v>
      </x:c>
      <x:c r="G16" s="16" t="str">
        <x:v>Thoracentesis, pneumothorax and percutaneous drainage products</x:v>
      </x:c>
      <x:c r="H16" s="16" t="str">
        <x:v>U.S.</x:v>
      </x:c>
      <x:c r="I16" s="16" t="str">
        <x:v>Current 2026 web-hosted brochure</x:v>
      </x:c>
      <x:c r="J16" s="16" t="str">
        <x:v>Yes</x:v>
      </x:c>
      <x:c r="K16" s="16" t="str">
        <x:v>1-Core</x:v>
      </x:c>
      <x:c r="L16" s="16" t="str">
        <x:v>High-yield U.S. drainage source.</x:v>
      </x:c>
      <x:c r="M16" s="16" t="str">
        <x:v>https://www.teleflex.com/usa/en/product-areas/interventional/drainage/arrow-diagnostic-drainage-products/MC-006078_Interventional_DND_Product_Line_Brochure_Final.pdf</x:v>
      </x:c>
      <x:c r="N16" s="26" t="str">
        <x:v>2026-07-24</x:v>
      </x:c>
    </x:row>
    <x:row r="17">
      <x:c r="A17" s="16" t="str">
        <x:v>Core catalogs</x:v>
      </x:c>
      <x:c r="B17" s="16" t="str">
        <x:v>Pleural drainage</x:v>
      </x:c>
      <x:c r="C17" s="16" t="str">
        <x:v>Rocket Medical</x:v>
      </x:c>
      <x:c r="D17" s="16" t="str">
        <x:v>Rocket IPC U.S. Sales Brochure</x:v>
      </x:c>
      <x:c r="E17" s="16" t="str">
        <x:v>Portfolio brochure PDF</x:v>
      </x:c>
      <x:c r="F17" s="16" t="str">
        <x:v>Disposable</x:v>
      </x:c>
      <x:c r="G17" s="16" t="str">
        <x:v>Indwelling pleural/peritoneal catheter, insertion kits, drainage supplies and management accessories</x:v>
      </x:c>
      <x:c r="H17" s="16" t="str">
        <x:v>U.S.</x:v>
      </x:c>
      <x:c r="I17" s="16" t="str">
        <x:v>2025</x:v>
      </x:c>
      <x:c r="J17" s="16" t="str">
        <x:v>Yes</x:v>
      </x:c>
      <x:c r="K17" s="16" t="str">
        <x:v>1-Core</x:v>
      </x:c>
      <x:c r="L17" s="16" t="str">
        <x:v>Current U.S. IPC portfolio brochure.</x:v>
      </x:c>
      <x:c r="M17" s="16" t="str">
        <x:v>https://rocketmedical.com/wp-content/uploads/2025/11/SALES590_Rev2_RocketMedical_IPC_Sales_Brochure_Trifold-US-2.pdf</x:v>
      </x:c>
      <x:c r="N17" s="26" t="str">
        <x:v>2026-07-24</x:v>
      </x:c>
    </x:row>
    <x:row r="18">
      <x:c r="A18" s="16" t="str">
        <x:v>Core catalogs</x:v>
      </x:c>
      <x:c r="B18" s="16" t="str">
        <x:v>Thoracic drainage</x:v>
      </x:c>
      <x:c r="C18" s="16" t="str">
        <x:v>Getinge / Atrium</x:v>
      </x:c>
      <x:c r="D18" s="16" t="str">
        <x:v>Thoracic Drainage Solutions</x:v>
      </x:c>
      <x:c r="E18" s="16" t="str">
        <x:v>Portfolio webpage</x:v>
      </x:c>
      <x:c r="F18" s="16" t="str">
        <x:v>Both</x:v>
      </x:c>
      <x:c r="G18" s="16" t="str">
        <x:v>Chest drains, thoracic catheters and transitional accessories</x:v>
      </x:c>
      <x:c r="H18" s="16" t="str">
        <x:v>U.S.</x:v>
      </x:c>
      <x:c r="I18" s="16" t="str">
        <x:v>Live</x:v>
      </x:c>
      <x:c r="J18" s="16" t="str">
        <x:v>Yes</x:v>
      </x:c>
      <x:c r="K18" s="16" t="str">
        <x:v>1-Core</x:v>
      </x:c>
      <x:c r="L18" s="16" t="str">
        <x:v>Master Atrium thoracic drainage portfolio.</x:v>
      </x:c>
      <x:c r="M18" s="16" t="str">
        <x:v>https://www.getinge.com/us/products-and-solutions/intensive-care/thoracic-drainage-solutions/</x:v>
      </x:c>
      <x:c r="N18" s="26" t="str">
        <x:v>2026-07-24</x:v>
      </x:c>
    </x:row>
    <x:row r="19">
      <x:c r="A19" s="16" t="str">
        <x:v>Core catalogs</x:v>
      </x:c>
      <x:c r="B19" s="16" t="str">
        <x:v>Tracheostomy</x:v>
      </x:c>
      <x:c r="C19" s="16" t="str">
        <x:v>ICU Medical</x:v>
      </x:c>
      <x:c r="D19" s="16" t="str">
        <x:v>Tracheostomy Portfolio</x:v>
      </x:c>
      <x:c r="E19" s="16" t="str">
        <x:v>Portfolio webpage</x:v>
      </x:c>
      <x:c r="F19" s="16" t="str">
        <x:v>Both</x:v>
      </x:c>
      <x:c r="G19" s="16" t="str">
        <x:v>Portex and Bivona tracheostomy tubes, kits and accessories</x:v>
      </x:c>
      <x:c r="H19" s="16" t="str">
        <x:v>U.S.</x:v>
      </x:c>
      <x:c r="I19" s="16" t="str">
        <x:v>Live</x:v>
      </x:c>
      <x:c r="J19" s="16" t="str">
        <x:v>Yes</x:v>
      </x:c>
      <x:c r="K19" s="16" t="str">
        <x:v>1-Core</x:v>
      </x:c>
      <x:c r="L19" s="16" t="str">
        <x:v>Master tracheostomy portfolio gateway.</x:v>
      </x:c>
      <x:c r="M19" s="16" t="str">
        <x:v>https://www.icumed.com/products/airway-management/tracheostomy/</x:v>
      </x:c>
      <x:c r="N19" s="26" t="str">
        <x:v>2026-07-24</x:v>
      </x:c>
    </x:row>
    <x:row r="20">
      <x:c r="A20" s="16" t="str">
        <x:v>Core catalogs</x:v>
      </x:c>
      <x:c r="B20" s="16" t="str">
        <x:v>Tracheostomy</x:v>
      </x:c>
      <x:c r="C20" s="16" t="str">
        <x:v>TRACOE / Atos Medical</x:v>
      </x:c>
      <x:c r="D20" s="16" t="str">
        <x:v>Complete Tracheostomy Portfolio</x:v>
      </x:c>
      <x:c r="E20" s="16" t="str">
        <x:v>Portfolio webpage</x:v>
      </x:c>
      <x:c r="F20" s="16" t="str">
        <x:v>Both</x:v>
      </x:c>
      <x:c r="G20" s="16" t="str">
        <x:v>Tracheostomy tubes, speaking valves, humidification and accessories</x:v>
      </x:c>
      <x:c r="H20" s="16" t="str">
        <x:v>U.S./global; verify individual products</x:v>
      </x:c>
      <x:c r="I20" s="16" t="str">
        <x:v>Live</x:v>
      </x:c>
      <x:c r="J20" s="16" t="str">
        <x:v>Yes</x:v>
      </x:c>
      <x:c r="K20" s="16" t="str">
        <x:v>2-Secondary</x:v>
      </x:c>
      <x:c r="L20" s="16" t="str">
        <x:v>No single current U.S. master PDF located during this sweep.</x:v>
      </x:c>
      <x:c r="M20" s="16" t="str">
        <x:v>https://www.atosmedical.com/tracheostomy</x:v>
      </x:c>
      <x:c r="N20" s="26" t="str">
        <x:v>2026-07-24</x:v>
      </x:c>
    </x:row>
    <x:row r="21">
      <x:c r="A21" s="16" t="str">
        <x:v>Flexible bronchoscopy &amp; EBUS</x:v>
      </x:c>
      <x:c r="B21" s="16" t="str">
        <x:v>EBUS scope</x:v>
      </x:c>
      <x:c r="C21" s="16" t="str">
        <x:v>FUJIFILM Healthcare Americas</x:v>
      </x:c>
      <x:c r="D21" s="16" t="str">
        <x:v>EB-710US Balloon-less EBUS Scope</x:v>
      </x:c>
      <x:c r="E21" s="16" t="str">
        <x:v>Product webpage</x:v>
      </x:c>
      <x:c r="F21" s="16" t="str">
        <x:v>Capital/reusable</x:v>
      </x:c>
      <x:c r="G21" s="16" t="str">
        <x:v>Linear EBUS-TBNA and mediastinal/peripheral targets</x:v>
      </x:c>
      <x:c r="H21" s="16" t="str">
        <x:v>U.S.</x:v>
      </x:c>
      <x:c r="I21" s="16" t="str">
        <x:v>Launched in U.S. in 2026</x:v>
      </x:c>
      <x:c r="J21" s="16" t="str">
        <x:v>Yes</x:v>
      </x:c>
      <x:c r="K21" s="16" t="str">
        <x:v>1-Core</x:v>
      </x:c>
      <x:c r="L21" s="16" t="str">
        <x:v>Current U.S. product page with specifications.</x:v>
      </x:c>
      <x:c r="M21" s="16" t="str">
        <x:v>https://healthcaresolutions-us.fujifilm.com/products/endoscopy/pulmonology/endobronchial-ultrasound-ebus/</x:v>
      </x:c>
      <x:c r="N21" s="26" t="str">
        <x:v>2026-07-24</x:v>
      </x:c>
    </x:row>
    <x:row r="22">
      <x:c r="A22" s="16" t="str">
        <x:v>Flexible bronchoscopy &amp; EBUS</x:v>
      </x:c>
      <x:c r="B22" s="16" t="str">
        <x:v>Radial EBUS</x:v>
      </x:c>
      <x:c r="C22" s="16" t="str">
        <x:v>FUJIFILM Healthcare Americas</x:v>
      </x:c>
      <x:c r="D22" s="16" t="str">
        <x:v>Ultrasonic Radial Probe System</x:v>
      </x:c>
      <x:c r="E22" s="16" t="str">
        <x:v>Product webpage</x:v>
      </x:c>
      <x:c r="F22" s="16" t="str">
        <x:v>Capital/reusable</x:v>
      </x:c>
      <x:c r="G22" s="16" t="str">
        <x:v>Peripheral pulmonary lesion localization</x:v>
      </x:c>
      <x:c r="H22" s="16" t="str">
        <x:v>U.S.</x:v>
      </x:c>
      <x:c r="I22" s="16" t="str">
        <x:v>Live</x:v>
      </x:c>
      <x:c r="J22" s="16" t="str">
        <x:v>Yes</x:v>
      </x:c>
      <x:c r="K22" s="16" t="str">
        <x:v>1-Core</x:v>
      </x:c>
      <x:c r="L22" s="16" t="str">
        <x:v>Current radial-probe product page.</x:v>
      </x:c>
      <x:c r="M22" s="16" t="str">
        <x:v>https://healthcaresolutions-us.fujifilm.com/products/endoscopy/pulmonology/ultrasonic-radial-probe-system/</x:v>
      </x:c>
      <x:c r="N22" s="26" t="str">
        <x:v>2026-07-24</x:v>
      </x:c>
    </x:row>
    <x:row r="23">
      <x:c r="A23" s="16" t="str">
        <x:v>Flexible bronchoscopy &amp; EBUS</x:v>
      </x:c>
      <x:c r="B23" s="16" t="str">
        <x:v>EBUS needle</x:v>
      </x:c>
      <x:c r="C23" s="16" t="str">
        <x:v>Cook Medical</x:v>
      </x:c>
      <x:c r="D23" s="16" t="str">
        <x:v>EchoTip Ultra Endobronchial HD Ultrasound Needle</x:v>
      </x:c>
      <x:c r="E23" s="16" t="str">
        <x:v>Product webpage</x:v>
      </x:c>
      <x:c r="F23" s="16" t="str">
        <x:v>Disposable</x:v>
      </x:c>
      <x:c r="G23" s="16" t="str">
        <x:v>EBUS-guided fine-needle aspiration</x:v>
      </x:c>
      <x:c r="H23" s="16" t="str">
        <x:v>U.S.</x:v>
      </x:c>
      <x:c r="I23" s="16" t="str">
        <x:v>Live</x:v>
      </x:c>
      <x:c r="J23" s="16" t="str">
        <x:v>Yes</x:v>
      </x:c>
      <x:c r="K23" s="16" t="str">
        <x:v>1-Core</x:v>
      </x:c>
      <x:c r="L23" s="16" t="str">
        <x:v>Specifications and compatible-scope variants.</x:v>
      </x:c>
      <x:c r="M23" s="16" t="str">
        <x:v>https://www.cookmedical.com/products/esc_echo_ebus_webds/</x:v>
      </x:c>
      <x:c r="N23" s="26" t="str">
        <x:v>2026-07-24</x:v>
      </x:c>
    </x:row>
    <x:row r="24">
      <x:c r="A24" s="16" t="str">
        <x:v>Flexible bronchoscopy &amp; EBUS</x:v>
      </x:c>
      <x:c r="B24" s="16" t="str">
        <x:v>Biopsy needle</x:v>
      </x:c>
      <x:c r="C24" s="16" t="str">
        <x:v>Cook Medical</x:v>
      </x:c>
      <x:c r="D24" s="16" t="str">
        <x:v>EchoTip ProCore HD Ultrasound Biopsy Needle</x:v>
      </x:c>
      <x:c r="E24" s="16" t="str">
        <x:v>Product webpage</x:v>
      </x:c>
      <x:c r="F24" s="16" t="str">
        <x:v>Disposable</x:v>
      </x:c>
      <x:c r="G24" s="16" t="str">
        <x:v>Core tissue acquisition from mediastinal masses and lymph nodes</x:v>
      </x:c>
      <x:c r="H24" s="16" t="str">
        <x:v>U.S.</x:v>
      </x:c>
      <x:c r="I24" s="16" t="str">
        <x:v>Live; verify EBUS compatibility by model</x:v>
      </x:c>
      <x:c r="J24" s="16" t="str">
        <x:v>Yes</x:v>
      </x:c>
      <x:c r="K24" s="16" t="str">
        <x:v>2-Secondary</x:v>
      </x:c>
      <x:c r="L24" s="16" t="str">
        <x:v>Indications include mediastinal masses and lymph nodes; confirm scope compatibility.</x:v>
      </x:c>
      <x:c r="M24" s="16" t="str">
        <x:v>https://www.cookmedical.com/products/esc_echoc_webds/</x:v>
      </x:c>
      <x:c r="N24" s="26" t="str">
        <x:v>2026-07-24</x:v>
      </x:c>
    </x:row>
    <x:row r="25">
      <x:c r="A25" s="16" t="str">
        <x:v>Flexible bronchoscopy &amp; EBUS</x:v>
      </x:c>
      <x:c r="B25" s="16" t="str">
        <x:v>Single-use bronchoscope</x:v>
      </x:c>
      <x:c r="C25" s="16" t="str">
        <x:v>Ambu</x:v>
      </x:c>
      <x:c r="D25" s="16" t="str">
        <x:v>aScope 5 Broncho Family Brochure</x:v>
      </x:c>
      <x:c r="E25" s="16" t="str">
        <x:v>Portfolio brochure PDF</x:v>
      </x:c>
      <x:c r="F25" s="16" t="str">
        <x:v>Both</x:v>
      </x:c>
      <x:c r="G25" s="16" t="str">
        <x:v>Diagnostic and therapeutic single-use bronchoscopy</x:v>
      </x:c>
      <x:c r="H25" s="16" t="str">
        <x:v>U.S.</x:v>
      </x:c>
      <x:c r="I25" s="16" t="str">
        <x:v>Current product family</x:v>
      </x:c>
      <x:c r="J25" s="16" t="str">
        <x:v>Yes</x:v>
      </x:c>
      <x:c r="K25" s="16" t="str">
        <x:v>1-Core</x:v>
      </x:c>
      <x:c r="L25" s="16" t="str">
        <x:v>Family brochure for scope sizes and display ecosystem.</x:v>
      </x:c>
      <x:c r="M25" s="16" t="str">
        <x:v>https://www.ambuusa.com/Admin/Public/Download.aspx?file=Files%2FFiles%2FDownloads%2FAmbu+USA%2FFlexibleEndoscopes%2FBronchoscopes%2FaScope+5+Broncho%2FBrochures%2FaScope-5-Broncho-Family-Brochure.pdf</x:v>
      </x:c>
      <x:c r="N25" s="26" t="str">
        <x:v>2026-07-24</x:v>
      </x:c>
    </x:row>
    <x:row r="26">
      <x:c r="A26" s="16" t="str">
        <x:v>Flexible bronchoscopy &amp; EBUS</x:v>
      </x:c>
      <x:c r="B26" s="16" t="str">
        <x:v>Single-use bronchoscope</x:v>
      </x:c>
      <x:c r="C26" s="16" t="str">
        <x:v>Ambu</x:v>
      </x:c>
      <x:c r="D26" s="16" t="str">
        <x:v>aScope 5 Broncho Product Family</x:v>
      </x:c>
      <x:c r="E26" s="16" t="str">
        <x:v>Product webpage</x:v>
      </x:c>
      <x:c r="F26" s="16" t="str">
        <x:v>Both</x:v>
      </x:c>
      <x:c r="G26" s="16" t="str">
        <x:v>Diagnostic and therapeutic single-use bronchoscopy</x:v>
      </x:c>
      <x:c r="H26" s="16" t="str">
        <x:v>U.S.</x:v>
      </x:c>
      <x:c r="I26" s="16" t="str">
        <x:v>Live</x:v>
      </x:c>
      <x:c r="J26" s="16" t="str">
        <x:v>Yes</x:v>
      </x:c>
      <x:c r="K26" s="16" t="str">
        <x:v>1-Core</x:v>
      </x:c>
      <x:c r="L26" s="16" t="str">
        <x:v>Current datasheets, IFUs and compatible display information.</x:v>
      </x:c>
      <x:c r="M26" s="16" t="str">
        <x:v>https://www.ambuusa.com/endoscopy/pulmonology/bronchoscopes/ascope-5-broncho</x:v>
      </x:c>
      <x:c r="N26" s="26" t="str">
        <x:v>2026-07-24</x:v>
      </x:c>
    </x:row>
    <x:row r="27">
      <x:c r="A27" s="16" t="str">
        <x:v>Flexible bronchoscopy &amp; EBUS</x:v>
      </x:c>
      <x:c r="B27" s="16" t="str">
        <x:v>Single-use bronchoscope</x:v>
      </x:c>
      <x:c r="C27" s="16" t="str">
        <x:v>Verathon</x:v>
      </x:c>
      <x:c r="D27" s="16" t="str">
        <x:v>GlideScope BFlex 2 Brochure</x:v>
      </x:c>
      <x:c r="E27" s="16" t="str">
        <x:v>Portfolio brochure PDF</x:v>
      </x:c>
      <x:c r="F27" s="16" t="str">
        <x:v>Both</x:v>
      </x:c>
      <x:c r="G27" s="16" t="str">
        <x:v>Single-use bronchoscopy with GlideScope Core monitor</x:v>
      </x:c>
      <x:c r="H27" s="16" t="str">
        <x:v>U.S.</x:v>
      </x:c>
      <x:c r="I27" s="16" t="str">
        <x:v>2023 brochure; product remains current</x:v>
      </x:c>
      <x:c r="J27" s="16" t="str">
        <x:v>Yes</x:v>
      </x:c>
      <x:c r="K27" s="16" t="str">
        <x:v>1-Core</x:v>
      </x:c>
      <x:c r="L27" s="16" t="str">
        <x:v>Scope family, working-channel and display details.</x:v>
      </x:c>
      <x:c r="M27" s="16" t="str">
        <x:v>https://www.verathon.com/sites/default/files/2023-04/0900-5207_Rev-02_BFlex2_Brochure_WEB.pdf</x:v>
      </x:c>
      <x:c r="N27" s="26" t="str">
        <x:v>2026-07-24</x:v>
      </x:c>
    </x:row>
    <x:row r="28">
      <x:c r="A28" s="16" t="str">
        <x:v>Flexible bronchoscopy &amp; EBUS</x:v>
      </x:c>
      <x:c r="B28" s="16" t="str">
        <x:v>Single-use bronchoscope</x:v>
      </x:c>
      <x:c r="C28" s="16" t="str">
        <x:v>Boston Scientific / Scivita</x:v>
      </x:c>
      <x:c r="D28" s="16" t="str">
        <x:v>Single-Use Broncho Videoscope Brief Summary</x:v>
      </x:c>
      <x:c r="E28" s="16" t="str">
        <x:v>Brief summary PDF</x:v>
      </x:c>
      <x:c r="F28" s="16" t="str">
        <x:v>Disposable plus capital processor</x:v>
      </x:c>
      <x:c r="G28" s="16" t="str">
        <x:v>Observation, diagnosis, imaging and treatment of the respiratory system</x:v>
      </x:c>
      <x:c r="H28" s="16" t="str">
        <x:v>U.S.</x:v>
      </x:c>
      <x:c r="I28" s="16" t="str">
        <x:v>February 2026</x:v>
      </x:c>
      <x:c r="J28" s="16" t="str">
        <x:v>Yes</x:v>
      </x:c>
      <x:c r="K28" s="16" t="str">
        <x:v>1-Core</x:v>
      </x:c>
      <x:c r="L28" s="16" t="str">
        <x:v>Current safety/indications document; detailed ordering data are in the 2026 reference guide.</x:v>
      </x:c>
      <x:c r="M28" s="16" t="str">
        <x:v>https://www.bostonscientific.com/content/dam/bostonscientific/endo/portfolio-group/scivita/ENDO-Single-UseBronchoVideoscope-BriefSummary.pdf</x:v>
      </x:c>
      <x:c r="N28" s="26" t="str">
        <x:v>2026-07-24</x:v>
      </x:c>
    </x:row>
    <x:row r="29">
      <x:c r="A29" s="16" t="str">
        <x:v>Flexible bronchoscopy &amp; EBUS</x:v>
      </x:c>
      <x:c r="B29" s="16" t="str">
        <x:v>Single-use bronchoscope</x:v>
      </x:c>
      <x:c r="C29" s="16" t="str">
        <x:v>Vathin</x:v>
      </x:c>
      <x:c r="D29" s="16" t="str">
        <x:v>Disposable Bronchoscope Portfolio</x:v>
      </x:c>
      <x:c r="E29" s="16" t="str">
        <x:v>Product webpage</x:v>
      </x:c>
      <x:c r="F29" s="16" t="str">
        <x:v>Both</x:v>
      </x:c>
      <x:c r="G29" s="16" t="str">
        <x:v>Single-use bronchoscopy</x:v>
      </x:c>
      <x:c r="H29" s="16" t="str">
        <x:v>U.S./global; verify model-specific clearance</x:v>
      </x:c>
      <x:c r="I29" s="16" t="str">
        <x:v>Live</x:v>
      </x:c>
      <x:c r="J29" s="16" t="str">
        <x:v>Yes</x:v>
      </x:c>
      <x:c r="K29" s="16" t="str">
        <x:v>2-Secondary</x:v>
      </x:c>
      <x:c r="L29" s="16" t="str">
        <x:v>No current manufacturer master PDF found; confirm U.S. catalog numbers directly.</x:v>
      </x:c>
      <x:c r="M29" s="16" t="str">
        <x:v>https://www.vathin.com/products/disposable-bronchoscope/</x:v>
      </x:c>
      <x:c r="N29" s="26" t="str">
        <x:v>2026-07-24</x:v>
      </x:c>
    </x:row>
    <x:row r="30">
      <x:c r="A30" s="16" t="str">
        <x:v>Flexible bronchoscopy &amp; EBUS</x:v>
      </x:c>
      <x:c r="B30" s="16" t="str">
        <x:v>EBUS needle</x:v>
      </x:c>
      <x:c r="C30" s="16" t="str">
        <x:v>Olympus</x:v>
      </x:c>
      <x:c r="D30" s="16" t="str">
        <x:v>ViziShot 2 FLEX 19G Brochure</x:v>
      </x:c>
      <x:c r="E30" s="16" t="str">
        <x:v>Product brochure PDF</x:v>
      </x:c>
      <x:c r="F30" s="16" t="str">
        <x:v>Disposable</x:v>
      </x:c>
      <x:c r="G30" s="16" t="str">
        <x:v>EBUS-guided tissue acquisition</x:v>
      </x:c>
      <x:c r="H30" s="16" t="str">
        <x:v>U.S.</x:v>
      </x:c>
      <x:c r="I30" s="16" t="str">
        <x:v>Historical product document</x:v>
      </x:c>
      <x:c r="J30" s="16" t="str">
        <x:v>Yes</x:v>
      </x:c>
      <x:c r="K30" s="16" t="str">
        <x:v>4-Do not procure</x:v>
      </x:c>
      <x:c r="L30" s="16" t="str">
        <x:v>FDA/Olympus expanded removal in January 2026; quarantine/cease use instructions apply. Retained only for catalog lineage.</x:v>
      </x:c>
      <x:c r="M30" s="16" t="str">
        <x:v>https://medical.olympusamerica.com/sites/default/files/us/files/pdf/ViziShot2FLEX-Brochure_36114.pdf</x:v>
      </x:c>
      <x:c r="N30" s="26" t="str">
        <x:v>2026-07-24</x:v>
      </x:c>
    </x:row>
    <x:row r="31">
      <x:c r="A31" s="16" t="str">
        <x:v>Flexible bronchoscopy &amp; EBUS</x:v>
      </x:c>
      <x:c r="B31" s="16" t="str">
        <x:v>Recall/safety</x:v>
      </x:c>
      <x:c r="C31" s="16" t="str">
        <x:v>U.S. FDA</x:v>
      </x:c>
      <x:c r="D31" s="16" t="str">
        <x:v>Olympus ViziShot 2 FLEX Expanded Recall/Removal</x:v>
      </x:c>
      <x:c r="E31" s="16" t="str">
        <x:v>Regulatory safety notice</x:v>
      </x:c>
      <x:c r="F31" s="16" t="str">
        <x:v>Disposable</x:v>
      </x:c>
      <x:c r="G31" s="16" t="str">
        <x:v>Safety and procurement status verification</x:v>
      </x:c>
      <x:c r="H31" s="16" t="str">
        <x:v>U.S.</x:v>
      </x:c>
      <x:c r="I31" s="16" t="str">
        <x:v>January 2026</x:v>
      </x:c>
      <x:c r="J31" s="16" t="str">
        <x:v>Government</x:v>
      </x:c>
      <x:c r="K31" s="16" t="str">
        <x:v>4-Do not procure</x:v>
      </x:c>
      <x:c r="L31" s="16" t="str">
        <x:v>Use this notice to prevent obsolete/removed products from being added as active catalog items.</x:v>
      </x:c>
      <x:c r="M31" s="16" t="str">
        <x:v>https://www.fda.gov/medical-devices/medical-device-recalls/olympus-corporation-expands-recall-removal-vizishot-2-flex-needles</x:v>
      </x:c>
      <x:c r="N31" s="26" t="str">
        <x:v>2026-07-24</x:v>
      </x:c>
    </x:row>
    <x:row r="32">
      <x:c r="A32" s="16" t="str">
        <x:v>Flexible bronchoscopy &amp; EBUS</x:v>
      </x:c>
      <x:c r="B32" s="16" t="str">
        <x:v>Core biopsy</x:v>
      </x:c>
      <x:c r="C32" s="16" t="str">
        <x:v>Medtronic</x:v>
      </x:c>
      <x:c r="D32" s="16" t="str">
        <x:v>GenCut Core Biopsy System</x:v>
      </x:c>
      <x:c r="E32" s="16" t="str">
        <x:v>Product webpage</x:v>
      </x:c>
      <x:c r="F32" s="16" t="str">
        <x:v>Disposable</x:v>
      </x:c>
      <x:c r="G32" s="16" t="str">
        <x:v>Peripheral pulmonary lesion core biopsy</x:v>
      </x:c>
      <x:c r="H32" s="16" t="str">
        <x:v>U.S.</x:v>
      </x:c>
      <x:c r="I32" s="16" t="str">
        <x:v>Live</x:v>
      </x:c>
      <x:c r="J32" s="16" t="str">
        <x:v>Yes</x:v>
      </x:c>
      <x:c r="K32" s="16" t="str">
        <x:v>1-Core</x:v>
      </x:c>
      <x:c r="L32" s="16" t="str">
        <x:v>Use with navigation systems; confirm current compatible catheter/platform.</x:v>
      </x:c>
      <x:c r="M32" s="16" t="str">
        <x:v>https://www.medtronic.com/covidien/en-us/products/lung-biopsy/gencut-core-biopsy-system.html</x:v>
      </x:c>
      <x:c r="N32" s="26" t="str">
        <x:v>2026-07-24</x:v>
      </x:c>
    </x:row>
    <x:row r="33">
      <x:c r="A33" s="16" t="str">
        <x:v>Flexible bronchoscopy &amp; EBUS</x:v>
      </x:c>
      <x:c r="B33" s="16" t="str">
        <x:v>Bronchoscopes</x:v>
      </x:c>
      <x:c r="C33" s="16" t="str">
        <x:v>PENTAX Medical</x:v>
      </x:c>
      <x:c r="D33" s="16" t="str">
        <x:v>EB-J10 Series Bronchoscopes</x:v>
      </x:c>
      <x:c r="E33" s="16" t="str">
        <x:v>Product webpage</x:v>
      </x:c>
      <x:c r="F33" s="16" t="str">
        <x:v>Capital/reusable</x:v>
      </x:c>
      <x:c r="G33" s="16" t="str">
        <x:v>Diagnostic and therapeutic flexible bronchoscopy</x:v>
      </x:c>
      <x:c r="H33" s="16" t="str">
        <x:v>Global; U.S. models vary</x:v>
      </x:c>
      <x:c r="I33" s="16" t="str">
        <x:v>Live</x:v>
      </x:c>
      <x:c r="J33" s="16" t="str">
        <x:v>Yes</x:v>
      </x:c>
      <x:c r="K33" s="16" t="str">
        <x:v>2-Secondary</x:v>
      </x:c>
      <x:c r="L33" s="16" t="str">
        <x:v>Confirm exact U.S. model and service support.</x:v>
      </x:c>
      <x:c r="M33" s="16" t="str">
        <x:v>https://www.pentaxmedical.com/en/products/endoscopes/bronchoscopes/eb-j10-series</x:v>
      </x:c>
      <x:c r="N33" s="26" t="str">
        <x:v>2026-07-24</x:v>
      </x:c>
    </x:row>
    <x:row r="34">
      <x:c r="A34" s="16" t="str">
        <x:v>Flexible bronchoscopy &amp; EBUS</x:v>
      </x:c>
      <x:c r="B34" s="16" t="str">
        <x:v>Cytology/microbiology brushes</x:v>
      </x:c>
      <x:c r="C34" s="16" t="str">
        <x:v>CONMED</x:v>
      </x:c>
      <x:c r="D34" s="16" t="str">
        <x:v>Cytology and Microbiology Brushes</x:v>
      </x:c>
      <x:c r="E34" s="16" t="str">
        <x:v>Product webpage with brochures</x:v>
      </x:c>
      <x:c r="F34" s="16" t="str">
        <x:v>Disposable</x:v>
      </x:c>
      <x:c r="G34" s="16" t="str">
        <x:v>Airway cytology and protected microbiology sampling</x:v>
      </x:c>
      <x:c r="H34" s="16" t="str">
        <x:v>U.S.</x:v>
      </x:c>
      <x:c r="I34" s="16" t="str">
        <x:v>Live</x:v>
      </x:c>
      <x:c r="J34" s="16" t="str">
        <x:v>Yes</x:v>
      </x:c>
      <x:c r="K34" s="16" t="str">
        <x:v>2-Secondary</x:v>
      </x:c>
      <x:c r="L34" s="16" t="str">
        <x:v>Includes protected bronchial microbiology brush products.</x:v>
      </x:c>
      <x:c r="M34" s="16" t="str">
        <x:v>https://www.conmed.com/en/medical-specialties/gastroenterology-and-pulmonology/pulmonology/cytology-and-microbiology-brushes</x:v>
      </x:c>
      <x:c r="N34" s="26" t="str">
        <x:v>2026-07-24</x:v>
      </x:c>
    </x:row>
    <x:row r="35">
      <x:c r="A35" s="16" t="str">
        <x:v>Navigation &amp; robotics</x:v>
      </x:c>
      <x:c r="B35" s="16" t="str">
        <x:v>Robotic bronchoscopy</x:v>
      </x:c>
      <x:c r="C35" s="16" t="str">
        <x:v>Intuitive</x:v>
      </x:c>
      <x:c r="D35" s="16" t="str">
        <x:v>Ion Endoluminal System Brochure</x:v>
      </x:c>
      <x:c r="E35" s="16" t="str">
        <x:v>System brochure PDF</x:v>
      </x:c>
      <x:c r="F35" s="16" t="str">
        <x:v>Capital plus disposable catheter/instruments</x:v>
      </x:c>
      <x:c r="G35" s="16" t="str">
        <x:v>Robotic bronchoscopy for peripheral pulmonary lesions</x:v>
      </x:c>
      <x:c r="H35" s="16" t="str">
        <x:v>U.S.</x:v>
      </x:c>
      <x:c r="I35" s="16" t="str">
        <x:v>Current</x:v>
      </x:c>
      <x:c r="J35" s="16" t="str">
        <x:v>Yes</x:v>
      </x:c>
      <x:c r="K35" s="16" t="str">
        <x:v>1-Core</x:v>
      </x:c>
      <x:c r="L35" s="16" t="str">
        <x:v>System-level overview; obtain current instrument ordering guide from representative.</x:v>
      </x:c>
      <x:c r="M35" s="16" t="str">
        <x:v>https://www.intuitive.com/en-us/-/media/Project/Intuitive-surgical/files/pdf/1001807-us-ion-brochure.pdf</x:v>
      </x:c>
      <x:c r="N35" s="26" t="str">
        <x:v>2026-07-24</x:v>
      </x:c>
    </x:row>
    <x:row r="36">
      <x:c r="A36" s="16" t="str">
        <x:v>Navigation &amp; robotics</x:v>
      </x:c>
      <x:c r="B36" s="16" t="str">
        <x:v>Robotic bronchoscopy</x:v>
      </x:c>
      <x:c r="C36" s="16" t="str">
        <x:v>Intuitive</x:v>
      </x:c>
      <x:c r="D36" s="16" t="str">
        <x:v>Ion Endoluminal System</x:v>
      </x:c>
      <x:c r="E36" s="16" t="str">
        <x:v>Product webpage</x:v>
      </x:c>
      <x:c r="F36" s="16" t="str">
        <x:v>Both</x:v>
      </x:c>
      <x:c r="G36" s="16" t="str">
        <x:v>Robotic bronchoscopy for lung biopsy</x:v>
      </x:c>
      <x:c r="H36" s="16" t="str">
        <x:v>U.S.</x:v>
      </x:c>
      <x:c r="I36" s="16" t="str">
        <x:v>Live</x:v>
      </x:c>
      <x:c r="J36" s="16" t="str">
        <x:v>Yes</x:v>
      </x:c>
      <x:c r="K36" s="16" t="str">
        <x:v>1-Core</x:v>
      </x:c>
      <x:c r="L36" s="16" t="str">
        <x:v>Current product and clinical-resource gateway.</x:v>
      </x:c>
      <x:c r="M36" s="16" t="str">
        <x:v>https://www.intuitive.com/en-us/products-and-services/ion</x:v>
      </x:c>
      <x:c r="N36" s="26" t="str">
        <x:v>2026-07-24</x:v>
      </x:c>
    </x:row>
    <x:row r="37">
      <x:c r="A37" s="16" t="str">
        <x:v>Navigation &amp; robotics</x:v>
      </x:c>
      <x:c r="B37" s="16" t="str">
        <x:v>Robotic bronchoscopy</x:v>
      </x:c>
      <x:c r="C37" s="16" t="str">
        <x:v>Johnson &amp; Johnson MedTech</x:v>
      </x:c>
      <x:c r="D37" s="16" t="str">
        <x:v>MONARCH Bronchoscopy Platform</x:v>
      </x:c>
      <x:c r="E37" s="16" t="str">
        <x:v>Product webpage</x:v>
      </x:c>
      <x:c r="F37" s="16" t="str">
        <x:v>Both</x:v>
      </x:c>
      <x:c r="G37" s="16" t="str">
        <x:v>Robotic-assisted bronchoscopy and peripheral lung biopsy</x:v>
      </x:c>
      <x:c r="H37" s="16" t="str">
        <x:v>U.S.</x:v>
      </x:c>
      <x:c r="I37" s="16" t="str">
        <x:v>Live</x:v>
      </x:c>
      <x:c r="J37" s="16" t="str">
        <x:v>Yes</x:v>
      </x:c>
      <x:c r="K37" s="16" t="str">
        <x:v>1-Core</x:v>
      </x:c>
      <x:c r="L37" s="16" t="str">
        <x:v>No current public product catalog PDF found; request capital and disposable ordering guides.</x:v>
      </x:c>
      <x:c r="M37" s="16" t="str">
        <x:v>https://www.jnjmedtech.com/en-US/product/monarch-platform</x:v>
      </x:c>
      <x:c r="N37" s="26" t="str">
        <x:v>2026-07-24</x:v>
      </x:c>
    </x:row>
    <x:row r="38">
      <x:c r="A38" s="16" t="str">
        <x:v>Navigation &amp; robotics</x:v>
      </x:c>
      <x:c r="B38" s="16" t="str">
        <x:v>Robotic bronchoscopy</x:v>
      </x:c>
      <x:c r="C38" s="16" t="str">
        <x:v>Noah Medical</x:v>
      </x:c>
      <x:c r="D38" s="16" t="str">
        <x:v>Galaxy System</x:v>
      </x:c>
      <x:c r="E38" s="16" t="str">
        <x:v>Product webpage</x:v>
      </x:c>
      <x:c r="F38" s="16" t="str">
        <x:v>Both</x:v>
      </x:c>
      <x:c r="G38" s="16" t="str">
        <x:v>Robotic-assisted bronchoscopy with integrated navigation/imaging</x:v>
      </x:c>
      <x:c r="H38" s="16" t="str">
        <x:v>U.S.</x:v>
      </x:c>
      <x:c r="I38" s="16" t="str">
        <x:v>Live</x:v>
      </x:c>
      <x:c r="J38" s="16" t="str">
        <x:v>Yes</x:v>
      </x:c>
      <x:c r="K38" s="16" t="str">
        <x:v>1-Core</x:v>
      </x:c>
      <x:c r="L38" s="16" t="str">
        <x:v>Public system walkthrough; request full disposable SKU catalog.</x:v>
      </x:c>
      <x:c r="M38" s="16" t="str">
        <x:v>https://www.noahmed.com/galaxy-system</x:v>
      </x:c>
      <x:c r="N38" s="26" t="str">
        <x:v>2026-07-24</x:v>
      </x:c>
    </x:row>
    <x:row r="39">
      <x:c r="A39" s="16" t="str">
        <x:v>Navigation &amp; robotics</x:v>
      </x:c>
      <x:c r="B39" s="16" t="str">
        <x:v>Electromagnetic navigation</x:v>
      </x:c>
      <x:c r="C39" s="16" t="str">
        <x:v>Medtronic</x:v>
      </x:c>
      <x:c r="D39" s="16" t="str">
        <x:v>ILLUMISITE Platform Brochure</x:v>
      </x:c>
      <x:c r="E39" s="16" t="str">
        <x:v>System brochure PDF</x:v>
      </x:c>
      <x:c r="F39" s="16" t="str">
        <x:v>Both</x:v>
      </x:c>
      <x:c r="G39" s="16" t="str">
        <x:v>Electromagnetic navigation bronchoscopy and fluoroscopic navigation</x:v>
      </x:c>
      <x:c r="H39" s="16" t="str">
        <x:v>U.S.</x:v>
      </x:c>
      <x:c r="I39" s="16" t="str">
        <x:v>Current</x:v>
      </x:c>
      <x:c r="J39" s="16" t="str">
        <x:v>Yes</x:v>
      </x:c>
      <x:c r="K39" s="16" t="str">
        <x:v>1-Core</x:v>
      </x:c>
      <x:c r="L39" s="16" t="str">
        <x:v>System and procedural component overview.</x:v>
      </x:c>
      <x:c r="M39" s="16" t="str">
        <x:v>https://www.medtronic.com/content/dam/covidien/library/us/en/product/interventional-lung-solutions/illumisite-platform-brochure.pdf</x:v>
      </x:c>
      <x:c r="N39" s="26" t="str">
        <x:v>2026-07-24</x:v>
      </x:c>
    </x:row>
    <x:row r="40">
      <x:c r="A40" s="16" t="str">
        <x:v>Navigation &amp; robotics</x:v>
      </x:c>
      <x:c r="B40" s="16" t="str">
        <x:v>Electromagnetic navigation</x:v>
      </x:c>
      <x:c r="C40" s="16" t="str">
        <x:v>Medtronic</x:v>
      </x:c>
      <x:c r="D40" s="16" t="str">
        <x:v>ILLUMISITE Platform</x:v>
      </x:c>
      <x:c r="E40" s="16" t="str">
        <x:v>Product webpage</x:v>
      </x:c>
      <x:c r="F40" s="16" t="str">
        <x:v>Both</x:v>
      </x:c>
      <x:c r="G40" s="16" t="str">
        <x:v>Navigation bronchoscopy</x:v>
      </x:c>
      <x:c r="H40" s="16" t="str">
        <x:v>U.S.</x:v>
      </x:c>
      <x:c r="I40" s="16" t="str">
        <x:v>Live</x:v>
      </x:c>
      <x:c r="J40" s="16" t="str">
        <x:v>Yes</x:v>
      </x:c>
      <x:c r="K40" s="16" t="str">
        <x:v>1-Core</x:v>
      </x:c>
      <x:c r="L40" s="16" t="str">
        <x:v>Current platform page and resource gateway.</x:v>
      </x:c>
      <x:c r="M40" s="16" t="str">
        <x:v>https://www.medtronic.com/covidien/en-us/products/interventional-lung-solutions/illumisite-platform.html</x:v>
      </x:c>
      <x:c r="N40" s="26" t="str">
        <x:v>2026-07-24</x:v>
      </x:c>
    </x:row>
    <x:row r="41">
      <x:c r="A41" s="16" t="str">
        <x:v>Navigation &amp; robotics</x:v>
      </x:c>
      <x:c r="B41" s="16" t="str">
        <x:v>Image-guided bronchoscopy</x:v>
      </x:c>
      <x:c r="C41" s="16" t="str">
        <x:v>Body Vision Medical</x:v>
      </x:c>
      <x:c r="D41" s="16" t="str">
        <x:v>LungVision System</x:v>
      </x:c>
      <x:c r="E41" s="16" t="str">
        <x:v>Product webpage</x:v>
      </x:c>
      <x:c r="F41" s="16" t="str">
        <x:v>Both</x:v>
      </x:c>
      <x:c r="G41" s="16" t="str">
        <x:v>Real-time augmented fluoroscopic navigation and procedure kits</x:v>
      </x:c>
      <x:c r="H41" s="16" t="str">
        <x:v>U.S.</x:v>
      </x:c>
      <x:c r="I41" s="16" t="str">
        <x:v>Live</x:v>
      </x:c>
      <x:c r="J41" s="16" t="str">
        <x:v>Yes</x:v>
      </x:c>
      <x:c r="K41" s="16" t="str">
        <x:v>1-Core</x:v>
      </x:c>
      <x:c r="L41" s="16" t="str">
        <x:v>No public comprehensive ordering guide located.</x:v>
      </x:c>
      <x:c r="M41" s="16" t="str">
        <x:v>https://bodyvisionmedical.com/lungvision-system/</x:v>
      </x:c>
      <x:c r="N41" s="26" t="str">
        <x:v>2026-07-24</x:v>
      </x:c>
    </x:row>
    <x:row r="42">
      <x:c r="A42" s="16" t="str">
        <x:v>Navigation &amp; robotics</x:v>
      </x:c>
      <x:c r="B42" s="16" t="str">
        <x:v>Virtual bronchoscopy navigation</x:v>
      </x:c>
      <x:c r="C42" s="16" t="str">
        <x:v>Broncus Medical</x:v>
      </x:c>
      <x:c r="D42" s="16" t="str">
        <x:v>Archimedes System Brochure</x:v>
      </x:c>
      <x:c r="E42" s="16" t="str">
        <x:v>System brochure PDF (third-party host)</x:v>
      </x:c>
      <x:c r="F42" s="16" t="str">
        <x:v>Both</x:v>
      </x:c>
      <x:c r="G42" s="16" t="str">
        <x:v>Virtual bronchoscopy navigation and transbronchial access planning</x:v>
      </x:c>
      <x:c r="H42" s="16" t="str">
        <x:v>Global; verify U.S. commercial status</x:v>
      </x:c>
      <x:c r="I42" s="16" t="str">
        <x:v>Older/undated</x:v>
      </x:c>
      <x:c r="J42" s="16" t="str">
        <x:v>No—mirror</x:v>
      </x:c>
      <x:c r="K42" s="16" t="str">
        <x:v>3-Legacy/verify</x:v>
      </x:c>
      <x:c r="L42" s="16" t="str">
        <x:v>Useful technical reference; confirm current manufacturer availability and U.S. status.</x:v>
      </x:c>
      <x:c r="M42" s="16" t="str">
        <x:v>https://pulmonologyonair.com/wp-content/uploads/2020/06/Archimedes-System-Brochure.pdf</x:v>
      </x:c>
      <x:c r="N42" s="26" t="str">
        <x:v>2026-07-24</x:v>
      </x:c>
    </x:row>
    <x:row r="43">
      <x:c r="A43" s="16" t="str">
        <x:v>Navigation &amp; robotics</x:v>
      </x:c>
      <x:c r="B43" s="16" t="str">
        <x:v>Virtual bronchoscopy navigation</x:v>
      </x:c>
      <x:c r="C43" s="16" t="str">
        <x:v>Broncus Medical</x:v>
      </x:c>
      <x:c r="D43" s="16" t="str">
        <x:v>LungPoint VBN Brochure</x:v>
      </x:c>
      <x:c r="E43" s="16" t="str">
        <x:v>System brochure PDF (distributor host)</x:v>
      </x:c>
      <x:c r="F43" s="16" t="str">
        <x:v>Both</x:v>
      </x:c>
      <x:c r="G43" s="16" t="str">
        <x:v>Virtual bronchoscopic navigation</x:v>
      </x:c>
      <x:c r="H43" s="16" t="str">
        <x:v>U.S.; current regulatory status should be verified</x:v>
      </x:c>
      <x:c r="I43" s="16" t="str">
        <x:v>Legacy brochure</x:v>
      </x:c>
      <x:c r="J43" s="16" t="str">
        <x:v>No—mirror</x:v>
      </x:c>
      <x:c r="K43" s="16" t="str">
        <x:v>3-Legacy/verify</x:v>
      </x:c>
      <x:c r="L43" s="16" t="str">
        <x:v>Use current FDA/official documentation rather than this brochure for procurement.</x:v>
      </x:c>
      <x:c r="M43" s="16" t="str">
        <x:v>https://www.tsc.com.tw/uploads/medical_product/201902251347279014.pdf</x:v>
      </x:c>
      <x:c r="N43" s="26" t="str">
        <x:v>2026-07-24</x:v>
      </x:c>
    </x:row>
    <x:row r="44">
      <x:c r="A44" s="16" t="str">
        <x:v>Navigation &amp; robotics</x:v>
      </x:c>
      <x:c r="B44" s="16" t="str">
        <x:v>Mobile 3D C-arm</x:v>
      </x:c>
      <x:c r="C44" s="16" t="str">
        <x:v>Siemens Healthineers</x:v>
      </x:c>
      <x:c r="D44" s="16" t="str">
        <x:v>Cios Spin</x:v>
      </x:c>
      <x:c r="E44" s="16" t="str">
        <x:v>Product webpage</x:v>
      </x:c>
      <x:c r="F44" s="16" t="str">
        <x:v>Capital</x:v>
      </x:c>
      <x:c r="G44" s="16" t="str">
        <x:v>Cone-beam CT / 3D imaging during bronchoscopy</x:v>
      </x:c>
      <x:c r="H44" s="16" t="str">
        <x:v>U.S./global</x:v>
      </x:c>
      <x:c r="I44" s="16" t="str">
        <x:v>Live</x:v>
      </x:c>
      <x:c r="J44" s="16" t="str">
        <x:v>Yes</x:v>
      </x:c>
      <x:c r="K44" s="16" t="str">
        <x:v>1-Core</x:v>
      </x:c>
      <x:c r="L44" s="16" t="str">
        <x:v>Pulmonology is a listed clinical application.</x:v>
      </x:c>
      <x:c r="M44" s="16" t="str">
        <x:v>https://www.siemens-healthineers.com/surgical-c-arms-and-navigation/mobile-c-arms/cios-spin</x:v>
      </x:c>
      <x:c r="N44" s="26" t="str">
        <x:v>2026-07-24</x:v>
      </x:c>
    </x:row>
    <x:row r="45">
      <x:c r="A45" s="16" t="str">
        <x:v>Navigation &amp; robotics</x:v>
      </x:c>
      <x:c r="B45" s="16" t="str">
        <x:v>Cone-beam CT</x:v>
      </x:c>
      <x:c r="C45" s="16" t="str">
        <x:v>Philips</x:v>
      </x:c>
      <x:c r="D45" s="16" t="str">
        <x:v>Lung Suite Brochure</x:v>
      </x:c>
      <x:c r="E45" s="16" t="str">
        <x:v>Solution brochure PDF</x:v>
      </x:c>
      <x:c r="F45" s="16" t="str">
        <x:v>Capital</x:v>
      </x:c>
      <x:c r="G45" s="16" t="str">
        <x:v>Cone-beam CT guidance for lung interventions</x:v>
      </x:c>
      <x:c r="H45" s="16" t="str">
        <x:v>U.S./global</x:v>
      </x:c>
      <x:c r="I45" s="16" t="str">
        <x:v>Current solution family</x:v>
      </x:c>
      <x:c r="J45" s="16" t="str">
        <x:v>Yes</x:v>
      </x:c>
      <x:c r="K45" s="16" t="str">
        <x:v>1-Core</x:v>
      </x:c>
      <x:c r="L45" s="16" t="str">
        <x:v>Intraprocedural imaging and workflow overview.</x:v>
      </x:c>
      <x:c r="M45" s="16" t="str">
        <x:v>https://www.usa.philips.com/c-dam/b2bhc/master/resource-catalog/landing/lung-suite/452299171151-lung-suite-brochure.pdf</x:v>
      </x:c>
      <x:c r="N45" s="26" t="str">
        <x:v>2026-07-24</x:v>
      </x:c>
    </x:row>
    <x:row r="46">
      <x:c r="A46" s="16" t="str">
        <x:v>Navigation &amp; robotics</x:v>
      </x:c>
      <x:c r="B46" s="16" t="str">
        <x:v>3D mobile C-arm</x:v>
      </x:c>
      <x:c r="C46" s="16" t="str">
        <x:v>GE HealthCare</x:v>
      </x:c>
      <x:c r="D46" s="16" t="str">
        <x:v>OEC 3D Lung Suite</x:v>
      </x:c>
      <x:c r="E46" s="16" t="str">
        <x:v>Product webpage</x:v>
      </x:c>
      <x:c r="F46" s="16" t="str">
        <x:v>Capital</x:v>
      </x:c>
      <x:c r="G46" s="16" t="str">
        <x:v>3D imaging and navigation support for bronchoscopy</x:v>
      </x:c>
      <x:c r="H46" s="16" t="str">
        <x:v>U.S.</x:v>
      </x:c>
      <x:c r="I46" s="16" t="str">
        <x:v>Current</x:v>
      </x:c>
      <x:c r="J46" s="16" t="str">
        <x:v>Yes</x:v>
      </x:c>
      <x:c r="K46" s="16" t="str">
        <x:v>1-Core</x:v>
      </x:c>
      <x:c r="L46" s="16" t="str">
        <x:v>Current lung-suite product information.</x:v>
      </x:c>
      <x:c r="M46" s="16" t="str">
        <x:v>https://www.gehealthcare.com/products/surgical-imaging/oec-3d/lung-suite</x:v>
      </x:c>
      <x:c r="N46" s="26" t="str">
        <x:v>2026-07-24</x:v>
      </x:c>
    </x:row>
    <x:row r="47">
      <x:c r="A47" s="16" t="str">
        <x:v>Navigation &amp; robotics</x:v>
      </x:c>
      <x:c r="B47" s="16" t="str">
        <x:v>3D mobile C-arm</x:v>
      </x:c>
      <x:c r="C47" s="16" t="str">
        <x:v>Ziehm Imaging</x:v>
      </x:c>
      <x:c r="D47" s="16" t="str">
        <x:v>Ziehm Vision RFD 3D U.S. Brochure</x:v>
      </x:c>
      <x:c r="E47" s="16" t="str">
        <x:v>System brochure PDF</x:v>
      </x:c>
      <x:c r="F47" s="16" t="str">
        <x:v>Capital</x:v>
      </x:c>
      <x:c r="G47" s="16" t="str">
        <x:v>Mobile 3D imaging for interventional procedures including thoracic use</x:v>
      </x:c>
      <x:c r="H47" s="16" t="str">
        <x:v>U.S.</x:v>
      </x:c>
      <x:c r="I47" s="16" t="str">
        <x:v>Current</x:v>
      </x:c>
      <x:c r="J47" s="16" t="str">
        <x:v>Yes</x:v>
      </x:c>
      <x:c r="K47" s="16" t="str">
        <x:v>2-Secondary</x:v>
      </x:c>
      <x:c r="L47" s="16" t="str">
        <x:v>Confirm specific pulmonary workflow package and room requirements.</x:v>
      </x:c>
      <x:c r="M47" s="16" t="str">
        <x:v>https://www.ziehm.com/fileadmin/content/Downloads/US_Brochures/Ziehm_Vision_RFD_3D_US.pdf</x:v>
      </x:c>
      <x:c r="N47" s="26" t="str">
        <x:v>2026-07-24</x:v>
      </x:c>
    </x:row>
    <x:row r="48">
      <x:c r="A48" s="16" t="str">
        <x:v>Airway therapy</x:v>
      </x:c>
      <x:c r="B48" s="16" t="str">
        <x:v>Metal stents</x:v>
      </x:c>
      <x:c r="C48" s="16" t="str">
        <x:v>Merit Medical</x:v>
      </x:c>
      <x:c r="D48" s="16" t="str">
        <x:v>AERO / AEROmini / AERO DV Tracheobronchial Stents</x:v>
      </x:c>
      <x:c r="E48" s="16" t="str">
        <x:v>Catalog brochure PDF</x:v>
      </x:c>
      <x:c r="F48" s="16" t="str">
        <x:v>Both</x:v>
      </x:c>
      <x:c r="G48" s="16" t="str">
        <x:v>Malignant tracheobronchial strictures and stent delivery</x:v>
      </x:c>
      <x:c r="H48" s="16" t="str">
        <x:v>U.S.</x:v>
      </x:c>
      <x:c r="I48" s="16" t="str">
        <x:v>Current catalog numbers</x:v>
      </x:c>
      <x:c r="J48" s="16" t="str">
        <x:v>Yes</x:v>
      </x:c>
      <x:c r="K48" s="16" t="str">
        <x:v>1-Core</x:v>
      </x:c>
      <x:c r="L48" s="16" t="str">
        <x:v>Detailed sizes and delivery-system specifications.</x:v>
      </x:c>
      <x:c r="M48" s="16" t="str">
        <x:v>https://cloud.merit.com/catalog/Brochures/401871001.pdf</x:v>
      </x:c>
      <x:c r="N48" s="26" t="str">
        <x:v>2026-07-24</x:v>
      </x:c>
    </x:row>
    <x:row r="49">
      <x:c r="A49" s="16" t="str">
        <x:v>Airway therapy</x:v>
      </x:c>
      <x:c r="B49" s="16" t="str">
        <x:v>Metal stents</x:v>
      </x:c>
      <x:c r="C49" s="16" t="str">
        <x:v>Boston Scientific</x:v>
      </x:c>
      <x:c r="D49" s="16" t="str">
        <x:v>Ultraflex Tracheobronchial Stent Brochure</x:v>
      </x:c>
      <x:c r="E49" s="16" t="str">
        <x:v>Product brochure PDF</x:v>
      </x:c>
      <x:c r="F49" s="16" t="str">
        <x:v>Both</x:v>
      </x:c>
      <x:c r="G49" s="16" t="str">
        <x:v>Tracheobronchial stenting</x:v>
      </x:c>
      <x:c r="H49" s="16" t="str">
        <x:v>U.S.</x:v>
      </x:c>
      <x:c r="I49" s="16" t="str">
        <x:v>Current status must be checked against 2026 guide</x:v>
      </x:c>
      <x:c r="J49" s="16" t="str">
        <x:v>Yes</x:v>
      </x:c>
      <x:c r="K49" s="16" t="str">
        <x:v>2-Secondary</x:v>
      </x:c>
      <x:c r="L49" s="16" t="str">
        <x:v>Confirm current sizes and indication-specific availability.</x:v>
      </x:c>
      <x:c r="M49" s="16" t="str">
        <x:v>https://www.bostonscientific.com/content/dam/bostonscientific/endo/portfolio-group/ultraflex-tracheobronchial-stent/Ultraflex-Tracheobronchial-Stent-Brochure.pdf</x:v>
      </x:c>
      <x:c r="N49" s="26" t="str">
        <x:v>2026-07-24</x:v>
      </x:c>
    </x:row>
    <x:row r="50">
      <x:c r="A50" s="16" t="str">
        <x:v>Airway therapy</x:v>
      </x:c>
      <x:c r="B50" s="16" t="str">
        <x:v>Silicone stents</x:v>
      </x:c>
      <x:c r="C50" s="16" t="str">
        <x:v>NOVATECH</x:v>
      </x:c>
      <x:c r="D50" s="16" t="str">
        <x:v>Original DUMON Silicone Airway Stents</x:v>
      </x:c>
      <x:c r="E50" s="16" t="str">
        <x:v>Catalog PDF</x:v>
      </x:c>
      <x:c r="F50" s="16" t="str">
        <x:v>Disposable implant plus reusable instruments</x:v>
      </x:c>
      <x:c r="G50" s="16" t="str">
        <x:v>Benign/malignant airway stenosis and fistula management</x:v>
      </x:c>
      <x:c r="H50" s="16" t="str">
        <x:v>Global; U.S. distribution/availability must be verified</x:v>
      </x:c>
      <x:c r="I50" s="16" t="str">
        <x:v>2023 web publication</x:v>
      </x:c>
      <x:c r="J50" s="16" t="str">
        <x:v>Yes</x:v>
      </x:c>
      <x:c r="K50" s="16" t="str">
        <x:v>1-Core</x:v>
      </x:c>
      <x:c r="L50" s="16" t="str">
        <x:v>Primary DUMON catalog; verify U.S. labeling and distributor.</x:v>
      </x:c>
      <x:c r="M50" s="16" t="str">
        <x:v>https://novatech.fr/fileadmin/user_upload/ELO-Sync_Kataloge/NOV/EN/NOV-MR-PCA-SST_DUMON-GSS_CA001_EN.pdf</x:v>
      </x:c>
      <x:c r="N50" s="26" t="str">
        <x:v>2026-07-24</x:v>
      </x:c>
    </x:row>
    <x:row r="51">
      <x:c r="A51" s="16" t="str">
        <x:v>Airway therapy</x:v>
      </x:c>
      <x:c r="B51" s="16" t="str">
        <x:v>Patient-specific stents</x:v>
      </x:c>
      <x:c r="C51" s="16" t="str">
        <x:v>NOVATECH</x:v>
      </x:c>
      <x:c r="D51" s="16" t="str">
        <x:v>NOVATECH 3D Individualized Silicone Airway Stent</x:v>
      </x:c>
      <x:c r="E51" s="16" t="str">
        <x:v>Product brochure PDF</x:v>
      </x:c>
      <x:c r="F51" s="16" t="str">
        <x:v>Disposable implant</x:v>
      </x:c>
      <x:c r="G51" s="16" t="str">
        <x:v>Complex patient-specific central airway stenting</x:v>
      </x:c>
      <x:c r="H51" s="16" t="str">
        <x:v>Global; U.S. availability must be verified</x:v>
      </x:c>
      <x:c r="I51" s="16" t="str">
        <x:v>Current catalog family</x:v>
      </x:c>
      <x:c r="J51" s="16" t="str">
        <x:v>Yes</x:v>
      </x:c>
      <x:c r="K51" s="16" t="str">
        <x:v>2-Secondary</x:v>
      </x:c>
      <x:c r="L51" s="16" t="str">
        <x:v>Not a substitute for current regulatory and custom-manufacturing review.</x:v>
      </x:c>
      <x:c r="M51" s="16" t="str">
        <x:v>https://novatech.fr/fileadmin/user_upload/ELO-Sync_Kataloge/NOV/EN/NOV-MR-PCA-NOV3D_EN.pdf</x:v>
      </x:c>
      <x:c r="N51" s="26" t="str">
        <x:v>2026-07-24</x:v>
      </x:c>
    </x:row>
    <x:row r="52">
      <x:c r="A52" s="16" t="str">
        <x:v>Airway therapy</x:v>
      </x:c>
      <x:c r="B52" s="16" t="str">
        <x:v>Bronchial occlusion</x:v>
      </x:c>
      <x:c r="C52" s="16" t="str">
        <x:v>NOVATECH</x:v>
      </x:c>
      <x:c r="D52" s="16" t="str">
        <x:v>EWS Endobronchial Watanabe-Spigots</x:v>
      </x:c>
      <x:c r="E52" s="16" t="str">
        <x:v>Catalog PDF</x:v>
      </x:c>
      <x:c r="F52" s="16" t="str">
        <x:v>Disposable implant</x:v>
      </x:c>
      <x:c r="G52" s="16" t="str">
        <x:v>Bronchial occlusion for persistent air leak/fistula applications</x:v>
      </x:c>
      <x:c r="H52" s="16" t="str">
        <x:v>OUS/global; verify U.S. availability</x:v>
      </x:c>
      <x:c r="I52" s="16" t="str">
        <x:v>2025</x:v>
      </x:c>
      <x:c r="J52" s="16" t="str">
        <x:v>Yes</x:v>
      </x:c>
      <x:c r="K52" s="16" t="str">
        <x:v>3-Legacy/verify</x:v>
      </x:c>
      <x:c r="L52" s="16" t="str">
        <x:v>Catalog notes availability varies by country.</x:v>
      </x:c>
      <x:c r="M52" s="16" t="str">
        <x:v>https://novatech.fr/fileadmin/user_upload/ELO-Sync_Kataloge/NOV/EN/NOV-MR-PCA-EWS_EN.pdf</x:v>
      </x:c>
      <x:c r="N52" s="26" t="str">
        <x:v>2026-07-24</x:v>
      </x:c>
    </x:row>
    <x:row r="53">
      <x:c r="A53" s="16" t="str">
        <x:v>Airway therapy</x:v>
      </x:c>
      <x:c r="B53" s="16" t="str">
        <x:v>Endobronchial valves</x:v>
      </x:c>
      <x:c r="C53" s="16" t="str">
        <x:v>Olympus</x:v>
      </x:c>
      <x:c r="D53" s="16" t="str">
        <x:v>Spiration Valve System Combined Sales Brochure</x:v>
      </x:c>
      <x:c r="E53" s="16" t="str">
        <x:v>Portfolio brochure PDF</x:v>
      </x:c>
      <x:c r="F53" s="16" t="str">
        <x:v>Both</x:v>
      </x:c>
      <x:c r="G53" s="16" t="str">
        <x:v>Severe emphysema and postoperative air-leak management</x:v>
      </x:c>
      <x:c r="H53" s="16" t="str">
        <x:v>U.S.</x:v>
      </x:c>
      <x:c r="I53" s="16" t="str">
        <x:v>2020; verify current commercialization</x:v>
      </x:c>
      <x:c r="J53" s="16" t="str">
        <x:v>Yes</x:v>
      </x:c>
      <x:c r="K53" s="16" t="str">
        <x:v>2-Secondary</x:v>
      </x:c>
      <x:c r="L53" s="16" t="str">
        <x:v>Contains emphysema and air-leak product overview.</x:v>
      </x:c>
      <x:c r="M53" s="16" t="str">
        <x:v>https://medical.olympusamerica.com/sites/default/files/us/files/pdf/SVS-Combined-Sales-Brochure-OAIRES0820BRO36609.pdf</x:v>
      </x:c>
      <x:c r="N53" s="26" t="str">
        <x:v>2026-07-24</x:v>
      </x:c>
    </x:row>
    <x:row r="54">
      <x:c r="A54" s="16" t="str">
        <x:v>Airway therapy</x:v>
      </x:c>
      <x:c r="B54" s="16" t="str">
        <x:v>Endobronchial valves</x:v>
      </x:c>
      <x:c r="C54" s="16" t="str">
        <x:v>Olympus</x:v>
      </x:c>
      <x:c r="D54" s="16" t="str">
        <x:v>Spiration Valve System Product Order Information</x:v>
      </x:c>
      <x:c r="E54" s="16" t="str">
        <x:v>Ordering guide PDF</x:v>
      </x:c>
      <x:c r="F54" s="16" t="str">
        <x:v>Disposable</x:v>
      </x:c>
      <x:c r="G54" s="16" t="str">
        <x:v>Valve sizes, sizing kit and deployment catheter</x:v>
      </x:c>
      <x:c r="H54" s="16" t="str">
        <x:v>U.S.</x:v>
      </x:c>
      <x:c r="I54" s="16" t="str">
        <x:v>2020; verify current SKUs</x:v>
      </x:c>
      <x:c r="J54" s="16" t="str">
        <x:v>Yes</x:v>
      </x:c>
      <x:c r="K54" s="16" t="str">
        <x:v>2-Secondary</x:v>
      </x:c>
      <x:c r="L54" s="16" t="str">
        <x:v>Useful catalog-number source.</x:v>
      </x:c>
      <x:c r="M54" s="16" t="str">
        <x:v>https://medical.olympusamerica.com/sites/default/files/us/files/pdf/SVS-Air-Leak-Product-Order-Information_FINAL.pdf</x:v>
      </x:c>
      <x:c r="N54" s="26" t="str">
        <x:v>2026-07-24</x:v>
      </x:c>
    </x:row>
    <x:row r="55">
      <x:c r="A55" s="16" t="str">
        <x:v>Airway therapy</x:v>
      </x:c>
      <x:c r="B55" s="16" t="str">
        <x:v>Endobronchial valves</x:v>
      </x:c>
      <x:c r="C55" s="16" t="str">
        <x:v>Olympus</x:v>
      </x:c>
      <x:c r="D55" s="16" t="str">
        <x:v>Spiration Air-Leak Procedure Guide</x:v>
      </x:c>
      <x:c r="E55" s="16" t="str">
        <x:v>Procedure/ordering guide PDF</x:v>
      </x:c>
      <x:c r="F55" s="16" t="str">
        <x:v>Both</x:v>
      </x:c>
      <x:c r="G55" s="16" t="str">
        <x:v>Valve sizing, loading, placement and removal</x:v>
      </x:c>
      <x:c r="H55" s="16" t="str">
        <x:v>U.S.</x:v>
      </x:c>
      <x:c r="I55" s="16" t="str">
        <x:v>2020; verify current status</x:v>
      </x:c>
      <x:c r="J55" s="16" t="str">
        <x:v>Yes</x:v>
      </x:c>
      <x:c r="K55" s="16" t="str">
        <x:v>2-Secondary</x:v>
      </x:c>
      <x:c r="L55" s="16" t="str">
        <x:v>Includes ancillary equipment and catalog numbers.</x:v>
      </x:c>
      <x:c r="M55" s="16" t="str">
        <x:v>https://medical.olympusamerica.com/sites/default/files/us/files/pdf/SVS-Air-Leak-Procedure-Guide_FINAL_OAIRES0620BRO35671_RA.pdf</x:v>
      </x:c>
      <x:c r="N55" s="26" t="str">
        <x:v>2026-07-24</x:v>
      </x:c>
    </x:row>
    <x:row r="56">
      <x:c r="A56" s="16" t="str">
        <x:v>Airway therapy</x:v>
      </x:c>
      <x:c r="B56" s="16" t="str">
        <x:v>Endobronchial valves</x:v>
      </x:c>
      <x:c r="C56" s="16" t="str">
        <x:v>Pulmonx</x:v>
      </x:c>
      <x:c r="D56" s="16" t="str">
        <x:v>Zephyr Valve U.S. Patient/Professional Brochure</x:v>
      </x:c>
      <x:c r="E56" s="16" t="str">
        <x:v>Portfolio brochure PDF</x:v>
      </x:c>
      <x:c r="F56" s="16" t="str">
        <x:v>Both</x:v>
      </x:c>
      <x:c r="G56" s="16" t="str">
        <x:v>Bronchoscopic lung volume reduction</x:v>
      </x:c>
      <x:c r="H56" s="16" t="str">
        <x:v>U.S.</x:v>
      </x:c>
      <x:c r="I56" s="16" t="str">
        <x:v>Current product family</x:v>
      </x:c>
      <x:c r="J56" s="16" t="str">
        <x:v>Yes</x:v>
      </x:c>
      <x:c r="K56" s="16" t="str">
        <x:v>1-Core</x:v>
      </x:c>
      <x:c r="L56" s="16" t="str">
        <x:v>Use Pulmonx download center for latest professional labeling and tools.</x:v>
      </x:c>
      <x:c r="M56" s="16" t="str">
        <x:v>https://pulmonx.com/wp-content/uploads/2024/01/Zephyr-Valve-Brochure-US.pdf</x:v>
      </x:c>
      <x:c r="N56" s="26" t="str">
        <x:v>2026-07-24</x:v>
      </x:c>
    </x:row>
    <x:row r="57">
      <x:c r="A57" s="16" t="str">
        <x:v>Airway therapy</x:v>
      </x:c>
      <x:c r="B57" s="16" t="str">
        <x:v>Endobronchial valves</x:v>
      </x:c>
      <x:c r="C57" s="16" t="str">
        <x:v>Pulmonx</x:v>
      </x:c>
      <x:c r="D57" s="16" t="str">
        <x:v>Pulmonx Download Center</x:v>
      </x:c>
      <x:c r="E57" s="16" t="str">
        <x:v>Resource center</x:v>
      </x:c>
      <x:c r="F57" s="16" t="str">
        <x:v>Both</x:v>
      </x:c>
      <x:c r="G57" s="16" t="str">
        <x:v>Zephyr valves, Chartis system and BLVR resources</x:v>
      </x:c>
      <x:c r="H57" s="16" t="str">
        <x:v>U.S./global</x:v>
      </x:c>
      <x:c r="I57" s="16" t="str">
        <x:v>Live</x:v>
      </x:c>
      <x:c r="J57" s="16" t="str">
        <x:v>Yes</x:v>
      </x:c>
      <x:c r="K57" s="16" t="str">
        <x:v>1-Core</x:v>
      </x:c>
      <x:c r="L57" s="16" t="str">
        <x:v>Best source for current brochures, IFUs and patient-selection tools.</x:v>
      </x:c>
      <x:c r="M57" s="16" t="str">
        <x:v>https://pulmonx.com/download-center/</x:v>
      </x:c>
      <x:c r="N57" s="26" t="str">
        <x:v>2026-07-24</x:v>
      </x:c>
    </x:row>
    <x:row r="58">
      <x:c r="A58" s="16" t="str">
        <x:v>Airway therapy</x:v>
      </x:c>
      <x:c r="B58" s="16" t="str">
        <x:v>Bronchial thermoplasty</x:v>
      </x:c>
      <x:c r="C58" s="16" t="str">
        <x:v>Boston Scientific</x:v>
      </x:c>
      <x:c r="D58" s="16" t="str">
        <x:v>Alair Bronchial Thermoplasty System</x:v>
      </x:c>
      <x:c r="E58" s="16" t="str">
        <x:v>Product factsheet/portfolio PDF</x:v>
      </x:c>
      <x:c r="F58" s="16" t="str">
        <x:v>Both</x:v>
      </x:c>
      <x:c r="G58" s="16" t="str">
        <x:v>Bronchial thermoplasty catheter and RF controller</x:v>
      </x:c>
      <x:c r="H58" s="16" t="str">
        <x:v>U.S.</x:v>
      </x:c>
      <x:c r="I58" s="16" t="str">
        <x:v>Legacy; verify active availability</x:v>
      </x:c>
      <x:c r="J58" s="16" t="str">
        <x:v>Yes</x:v>
      </x:c>
      <x:c r="K58" s="16" t="str">
        <x:v>3-Legacy/verify</x:v>
      </x:c>
      <x:c r="L58" s="16" t="str">
        <x:v>Included in older pulmonary brochures; verify current commercial support before procurement.</x:v>
      </x:c>
      <x:c r="M58" s="16" t="str">
        <x:v>https://www.bostonscientific.com/content/dam/bostonscientific/endo/portfolio-group/alair/Alair-Bronchial-Thermoplasty-System-Fact-Sheet.pdf</x:v>
      </x:c>
      <x:c r="N58" s="26" t="str">
        <x:v>2026-07-24</x:v>
      </x:c>
    </x:row>
    <x:row r="59">
      <x:c r="A59" s="16" t="str">
        <x:v>Rigid bronchoscopy &amp; thoracoscopy</x:v>
      </x:c>
      <x:c r="B59" s="16" t="str">
        <x:v>Rigid instruments</x:v>
      </x:c>
      <x:c r="C59" s="16" t="str">
        <x:v>NOVATECH</x:v>
      </x:c>
      <x:c r="D59" s="16" t="str">
        <x:v>Instruments for Rigid Bronchoscopy</x:v>
      </x:c>
      <x:c r="E59" s="16" t="str">
        <x:v>Catalog PDF</x:v>
      </x:c>
      <x:c r="F59" s="16" t="str">
        <x:v>Capital/reusable</x:v>
      </x:c>
      <x:c r="G59" s="16" t="str">
        <x:v>Rigid bronchoscope heads/tubes, caps, forceps, suction and stent instruments</x:v>
      </x:c>
      <x:c r="H59" s="16" t="str">
        <x:v>Global; verify U.S.</x:v>
      </x:c>
      <x:c r="I59" s="16" t="str">
        <x:v>2025</x:v>
      </x:c>
      <x:c r="J59" s="16" t="str">
        <x:v>Yes</x:v>
      </x:c>
      <x:c r="K59" s="16" t="str">
        <x:v>1-Core</x:v>
      </x:c>
      <x:c r="L59" s="16" t="str">
        <x:v>Current catalog with sizes and compatibility.</x:v>
      </x:c>
      <x:c r="M59" s="16" t="str">
        <x:v>https://novatech.fr/fileadmin/user_upload/ELO-Sync_Kataloge/NOV/EN/NOV-MR-PCA-Instruments_CA003_EN.pdf</x:v>
      </x:c>
      <x:c r="N59" s="26" t="str">
        <x:v>2026-07-24</x:v>
      </x:c>
    </x:row>
    <x:row r="60">
      <x:c r="A60" s="16" t="str">
        <x:v>Rigid bronchoscopy &amp; thoracoscopy</x:v>
      </x:c>
      <x:c r="B60" s="16" t="str">
        <x:v>Rigid bronchoscopy</x:v>
      </x:c>
      <x:c r="C60" s="16" t="str">
        <x:v>Richard Wolf</x:v>
      </x:c>
      <x:c r="D60" s="16" t="str">
        <x:v>TEXAS Bronchoscope and Thoracic Endoscopy Catalog</x:v>
      </x:c>
      <x:c r="E60" s="16" t="str">
        <x:v>Catalog PDF</x:v>
      </x:c>
      <x:c r="F60" s="16" t="str">
        <x:v>Capital/reusable</x:v>
      </x:c>
      <x:c r="G60" s="16" t="str">
        <x:v>Rigid bronchoscopy and thoracic endoscopy</x:v>
      </x:c>
      <x:c r="H60" s="16" t="str">
        <x:v>Global; U.S. company present</x:v>
      </x:c>
      <x:c r="I60" s="16" t="str">
        <x:v>Current official catalog</x:v>
      </x:c>
      <x:c r="J60" s="16" t="str">
        <x:v>Yes</x:v>
      </x:c>
      <x:c r="K60" s="16" t="str">
        <x:v>1-Core</x:v>
      </x:c>
      <x:c r="L60" s="16" t="str">
        <x:v>Use full thoracic catalog for instruments and configurations.</x:v>
      </x:c>
      <x:c r="M60" s="16" t="str">
        <x:v>https://www.richard-wolf.com/mam/data/Typo3/Kataloge/Broncho-_Thorako-_Mediastinoskopie/Thorakale_Endoskopie_en.pdf</x:v>
      </x:c>
      <x:c r="N60" s="26" t="str">
        <x:v>2026-07-24</x:v>
      </x:c>
    </x:row>
    <x:row r="61">
      <x:c r="A61" s="16" t="str">
        <x:v>Rigid bronchoscopy &amp; thoracoscopy</x:v>
      </x:c>
      <x:c r="B61" s="16" t="str">
        <x:v>Medical thoracoscopy</x:v>
      </x:c>
      <x:c r="C61" s="16" t="str">
        <x:v>Richard Wolf</x:v>
      </x:c>
      <x:c r="D61" s="16" t="str">
        <x:v>Mini Thoracoscopy Set for Single-Port Technique</x:v>
      </x:c>
      <x:c r="E61" s="16" t="str">
        <x:v>System brochure PDF</x:v>
      </x:c>
      <x:c r="F61" s="16" t="str">
        <x:v>Capital/reusable</x:v>
      </x:c>
      <x:c r="G61" s="16" t="str">
        <x:v>Diagnostic medical thoracoscopy and pleural biopsy</x:v>
      </x:c>
      <x:c r="H61" s="16" t="str">
        <x:v>Global; verify U.S.</x:v>
      </x:c>
      <x:c r="I61" s="16" t="str">
        <x:v>2021</x:v>
      </x:c>
      <x:c r="J61" s="16" t="str">
        <x:v>Yes</x:v>
      </x:c>
      <x:c r="K61" s="16" t="str">
        <x:v>2-Secondary</x:v>
      </x:c>
      <x:c r="L61" s="16" t="str">
        <x:v>Detailed component list for a 5.5-mm mini-thoracoscopy set.</x:v>
      </x:c>
      <x:c r="M61" s="16" t="str">
        <x:v>https://www.richard-wolf.com/fileadmin/user_upload/UEbergang_2021/B779en021221_Mini_Thoracoscopy_Set.pdf</x:v>
      </x:c>
      <x:c r="N61" s="26" t="str">
        <x:v>2026-07-24</x:v>
      </x:c>
    </x:row>
    <x:row r="62">
      <x:c r="A62" s="16" t="str">
        <x:v>Rigid bronchoscopy &amp; thoracoscopy</x:v>
      </x:c>
      <x:c r="B62" s="16" t="str">
        <x:v>Rigid bronchoscopy</x:v>
      </x:c>
      <x:c r="C62" s="16" t="str">
        <x:v>EFER Endoscopy</x:v>
      </x:c>
      <x:c r="D62" s="16" t="str">
        <x:v>EFER Bronchoscope System</x:v>
      </x:c>
      <x:c r="E62" s="16" t="str">
        <x:v>Product webpage</x:v>
      </x:c>
      <x:c r="F62" s="16" t="str">
        <x:v>Capital/reusable</x:v>
      </x:c>
      <x:c r="G62" s="16" t="str">
        <x:v>Rigid bronchoscopy, airway intervention and stent work</x:v>
      </x:c>
      <x:c r="H62" s="16" t="str">
        <x:v>Global; verify U.S.</x:v>
      </x:c>
      <x:c r="I62" s="16" t="str">
        <x:v>Live</x:v>
      </x:c>
      <x:c r="J62" s="16" t="str">
        <x:v>Yes</x:v>
      </x:c>
      <x:c r="K62" s="16" t="str">
        <x:v>2-Secondary</x:v>
      </x:c>
      <x:c r="L62" s="16" t="str">
        <x:v>Request current U.S. quotation and catalog because the full public catalog is limited.</x:v>
      </x:c>
      <x:c r="M62" s="16" t="str">
        <x:v>https://www.efer-endoscopy.com/en/products/bronchoscopy/</x:v>
      </x:c>
      <x:c r="N62" s="26" t="str">
        <x:v>2026-07-24</x:v>
      </x:c>
    </x:row>
    <x:row r="63">
      <x:c r="A63" s="16" t="str">
        <x:v>Rigid bronchoscopy &amp; thoracoscopy</x:v>
      </x:c>
      <x:c r="B63" s="16" t="str">
        <x:v>Rigid bronchoscopy</x:v>
      </x:c>
      <x:c r="C63" s="16" t="str">
        <x:v>EFER Endoscopy</x:v>
      </x:c>
      <x:c r="D63" s="16" t="str">
        <x:v>EFER Bronchoscope User Manual</x:v>
      </x:c>
      <x:c r="E63" s="16" t="str">
        <x:v>User manual PDF</x:v>
      </x:c>
      <x:c r="F63" s="16" t="str">
        <x:v>Capital/reusable</x:v>
      </x:c>
      <x:c r="G63" s="16" t="str">
        <x:v>System components and safe use</x:v>
      </x:c>
      <x:c r="H63" s="16" t="str">
        <x:v>Global; verify U.S.</x:v>
      </x:c>
      <x:c r="I63" s="16" t="str">
        <x:v>Current manual family</x:v>
      </x:c>
      <x:c r="J63" s="16" t="str">
        <x:v>Yes</x:v>
      </x:c>
      <x:c r="K63" s="16" t="str">
        <x:v>2-Secondary</x:v>
      </x:c>
      <x:c r="L63" s="16" t="str">
        <x:v>Not an ordering catalog, but useful for component identification.</x:v>
      </x:c>
      <x:c r="M63" s="16" t="str">
        <x:v>https://www.efer-endoscopy.com/wp-content/uploads/2021/07/IFU-BRONCHOSCOPE-EN.pdf</x:v>
      </x:c>
      <x:c r="N63" s="26" t="str">
        <x:v>2026-07-24</x:v>
      </x:c>
    </x:row>
    <x:row r="64">
      <x:c r="A64" s="16" t="str">
        <x:v>Rigid bronchoscopy &amp; thoracoscopy</x:v>
      </x:c>
      <x:c r="B64" s="16" t="str">
        <x:v>Jet ventilation</x:v>
      </x:c>
      <x:c r="C64" s="16" t="str">
        <x:v>Carl Reiner</x:v>
      </x:c>
      <x:c r="D64" s="16" t="str">
        <x:v>TwinStream Jet Ventilation System</x:v>
      </x:c>
      <x:c r="E64" s="16" t="str">
        <x:v>Product webpage</x:v>
      </x:c>
      <x:c r="F64" s="16" t="str">
        <x:v>Capital plus disposable tubing</x:v>
      </x:c>
      <x:c r="G64" s="16" t="str">
        <x:v>High-frequency/low-frequency jet ventilation for rigid bronchoscopy</x:v>
      </x:c>
      <x:c r="H64" s="16" t="str">
        <x:v>Global; verify U.S.</x:v>
      </x:c>
      <x:c r="I64" s="16" t="str">
        <x:v>Live</x:v>
      </x:c>
      <x:c r="J64" s="16" t="str">
        <x:v>Yes</x:v>
      </x:c>
      <x:c r="K64" s="16" t="str">
        <x:v>2-Secondary</x:v>
      </x:c>
      <x:c r="L64" s="16" t="str">
        <x:v>Request current accessories and disposable circuit catalog.</x:v>
      </x:c>
      <x:c r="M64" s="16" t="str">
        <x:v>https://www.carlreiner.eu/en/products/twinstream/</x:v>
      </x:c>
      <x:c r="N64" s="26" t="str">
        <x:v>2026-07-24</x:v>
      </x:c>
    </x:row>
    <x:row r="65">
      <x:c r="A65" s="16" t="str">
        <x:v>Energy &amp; ablation</x:v>
      </x:c>
      <x:c r="B65" s="16" t="str">
        <x:v>Cryotherapy</x:v>
      </x:c>
      <x:c r="C65" s="16" t="str">
        <x:v>ERBE</x:v>
      </x:c>
      <x:c r="D65" s="16" t="str">
        <x:v>ERBECRYO 2 U.S. Brochure</x:v>
      </x:c>
      <x:c r="E65" s="16" t="str">
        <x:v>System brochure PDF</x:v>
      </x:c>
      <x:c r="F65" s="16" t="str">
        <x:v>Both</x:v>
      </x:c>
      <x:c r="G65" s="16" t="str">
        <x:v>Cryobiopsy, cryoextraction, recanalization and devitalization</x:v>
      </x:c>
      <x:c r="H65" s="16" t="str">
        <x:v>U.S.</x:v>
      </x:c>
      <x:c r="I65" s="16" t="str">
        <x:v>Current product family</x:v>
      </x:c>
      <x:c r="J65" s="16" t="str">
        <x:v>Yes</x:v>
      </x:c>
      <x:c r="K65" s="16" t="str">
        <x:v>1-Core</x:v>
      </x:c>
      <x:c r="L65" s="16" t="str">
        <x:v>System, probes and pulmonary applications.</x:v>
      </x:c>
      <x:c r="M65" s="16" t="str">
        <x:v>https://www.erbe-med.com/us-en/products/cryosurgery/erbecryo-2/</x:v>
      </x:c>
      <x:c r="N65" s="26" t="str">
        <x:v>2026-07-24</x:v>
      </x:c>
    </x:row>
    <x:row r="66">
      <x:c r="A66" s="16" t="str">
        <x:v>Energy &amp; ablation</x:v>
      </x:c>
      <x:c r="B66" s="16" t="str">
        <x:v>Cryotherapy</x:v>
      </x:c>
      <x:c r="C66" s="16" t="str">
        <x:v>ERBE</x:v>
      </x:c>
      <x:c r="D66" s="16" t="str">
        <x:v>ERBECRYO 2 with Flexible Single-Use Cryoprobes</x:v>
      </x:c>
      <x:c r="E66" s="16" t="str">
        <x:v>Portfolio brochure PDF</x:v>
      </x:c>
      <x:c r="F66" s="16" t="str">
        <x:v>Both</x:v>
      </x:c>
      <x:c r="G66" s="16" t="str">
        <x:v>Cryobiopsy, clot/mucus/foreign-body extraction and tumor recanalization</x:v>
      </x:c>
      <x:c r="H66" s="16" t="str">
        <x:v>Global/U.S. product family</x:v>
      </x:c>
      <x:c r="I66" s="16" t="str">
        <x:v>Current web-hosted brochure</x:v>
      </x:c>
      <x:c r="J66" s="16" t="str">
        <x:v>Yes</x:v>
      </x:c>
      <x:c r="K66" s="16" t="str">
        <x:v>1-Core</x:v>
      </x:c>
      <x:c r="L66" s="16" t="str">
        <x:v>Includes probe sizes and accessory overview.</x:v>
      </x:c>
      <x:c r="M66" s="16" t="str">
        <x:v>https://register.erbe-med.com/productfinder/Marketingmaterialien/85402-100_ERBE_EN_ERBECRYO_2_with_flexible_cryoprobes__D071400.pdf</x:v>
      </x:c>
      <x:c r="N66" s="26" t="str">
        <x:v>2026-07-24</x:v>
      </x:c>
    </x:row>
    <x:row r="67">
      <x:c r="A67" s="16" t="str">
        <x:v>Energy &amp; ablation</x:v>
      </x:c>
      <x:c r="B67" s="16" t="str">
        <x:v>APC/electrosurgery</x:v>
      </x:c>
      <x:c r="C67" s="16" t="str">
        <x:v>ERBE</x:v>
      </x:c>
      <x:c r="D67" s="16" t="str">
        <x:v>Argon Plasma Coagulation Application Brochure</x:v>
      </x:c>
      <x:c r="E67" s="16" t="str">
        <x:v>Application brochure PDF</x:v>
      </x:c>
      <x:c r="F67" s="16" t="str">
        <x:v>Both</x:v>
      </x:c>
      <x:c r="G67" s="16" t="str">
        <x:v>Airway hemostasis, tumor recanalization, granulation and stenosis treatment</x:v>
      </x:c>
      <x:c r="H67" s="16" t="str">
        <x:v>Global/U.S. product family</x:v>
      </x:c>
      <x:c r="I67" s="16" t="str">
        <x:v>Current brochure family</x:v>
      </x:c>
      <x:c r="J67" s="16" t="str">
        <x:v>Yes</x:v>
      </x:c>
      <x:c r="K67" s="16" t="str">
        <x:v>1-Core</x:v>
      </x:c>
      <x:c r="L67" s="16" t="str">
        <x:v>Use with current VIO/APC equipment ordering guide.</x:v>
      </x:c>
      <x:c r="M67" s="16" t="str">
        <x:v>https://register.erbe-med.com/productfinder/Marketingmaterialien/85100-220_ERBE_EN_APC_Application_brochure__D070950.pdf</x:v>
      </x:c>
      <x:c r="N67" s="26" t="str">
        <x:v>2026-07-24</x:v>
      </x:c>
    </x:row>
    <x:row r="68">
      <x:c r="A68" s="16" t="str">
        <x:v>Energy &amp; ablation</x:v>
      </x:c>
      <x:c r="B68" s="16" t="str">
        <x:v>Microwave ablation</x:v>
      </x:c>
      <x:c r="C68" s="16" t="str">
        <x:v>Medtronic</x:v>
      </x:c>
      <x:c r="D68" s="16" t="str">
        <x:v>Emprint Ablation System Generator</x:v>
      </x:c>
      <x:c r="E68" s="16" t="str">
        <x:v>Product webpage</x:v>
      </x:c>
      <x:c r="F68" s="16" t="str">
        <x:v>Both</x:v>
      </x:c>
      <x:c r="G68" s="16" t="str">
        <x:v>Percutaneous microwave ablation including lung applications</x:v>
      </x:c>
      <x:c r="H68" s="16" t="str">
        <x:v>U.S.</x:v>
      </x:c>
      <x:c r="I68" s="16" t="str">
        <x:v>Live</x:v>
      </x:c>
      <x:c r="J68" s="16" t="str">
        <x:v>Yes</x:v>
      </x:c>
      <x:c r="K68" s="16" t="str">
        <x:v>1-Core</x:v>
      </x:c>
      <x:c r="L68" s="16" t="str">
        <x:v>Gateway to generator, antennas and procedural accessories.</x:v>
      </x:c>
      <x:c r="M68" s="16" t="str">
        <x:v>https://www.medtronic.com/covidien/en-us/products/ablation-systems/emprint-ablation-system.html</x:v>
      </x:c>
      <x:c r="N68" s="26" t="str">
        <x:v>2026-07-24</x:v>
      </x:c>
    </x:row>
    <x:row r="69">
      <x:c r="A69" s="16" t="str">
        <x:v>Energy &amp; ablation</x:v>
      </x:c>
      <x:c r="B69" s="16" t="str">
        <x:v>Microwave ablation</x:v>
      </x:c>
      <x:c r="C69" s="16" t="str">
        <x:v>Medtronic</x:v>
      </x:c>
      <x:c r="D69" s="16" t="str">
        <x:v>Emprint Ablation Zone Reference Charts</x:v>
      </x:c>
      <x:c r="E69" s="16" t="str">
        <x:v>Reference chart PDF</x:v>
      </x:c>
      <x:c r="F69" s="16" t="str">
        <x:v>Disposable system planning</x:v>
      </x:c>
      <x:c r="G69" s="16" t="str">
        <x:v>Lung ablation zone planning</x:v>
      </x:c>
      <x:c r="H69" s="16" t="str">
        <x:v>U.S.</x:v>
      </x:c>
      <x:c r="I69" s="16" t="str">
        <x:v>Current product family</x:v>
      </x:c>
      <x:c r="J69" s="16" t="str">
        <x:v>Yes</x:v>
      </x:c>
      <x:c r="K69" s="16" t="str">
        <x:v>2-Secondary</x:v>
      </x:c>
      <x:c r="L69" s="16" t="str">
        <x:v>Includes organ-specific reference information; not a substitute for IFU.</x:v>
      </x:c>
      <x:c r="M69" s="16" t="str">
        <x:v>https://www.medtronic.com/content/dam/covidien/library/us/en/product/ablation-systems/emprint-ablation-zone-reference-chart.pdf</x:v>
      </x:c>
      <x:c r="N69" s="26" t="str">
        <x:v>2026-07-24</x:v>
      </x:c>
    </x:row>
    <x:row r="70">
      <x:c r="A70" s="16" t="str">
        <x:v>Energy &amp; ablation</x:v>
      </x:c>
      <x:c r="B70" s="16" t="str">
        <x:v>Pulsed electric field</x:v>
      </x:c>
      <x:c r="C70" s="16" t="str">
        <x:v>Galvanize Therapeutics</x:v>
      </x:c>
      <x:c r="D70" s="16" t="str">
        <x:v>Aliya Pulsed Electric Field System</x:v>
      </x:c>
      <x:c r="E70" s="16" t="str">
        <x:v>Product webpage</x:v>
      </x:c>
      <x:c r="F70" s="16" t="str">
        <x:v>Both</x:v>
      </x:c>
      <x:c r="G70" s="16" t="str">
        <x:v>Soft-tissue ablation; potential bronchoscopic/percutaneous lung workflows require indication verification</x:v>
      </x:c>
      <x:c r="H70" s="16" t="str">
        <x:v>U.S.</x:v>
      </x:c>
      <x:c r="I70" s="16" t="str">
        <x:v>Live</x:v>
      </x:c>
      <x:c r="J70" s="16" t="str">
        <x:v>Yes</x:v>
      </x:c>
      <x:c r="K70" s="16" t="str">
        <x:v>2-Secondary</x:v>
      </x:c>
      <x:c r="L70" s="16" t="str">
        <x:v>Verify current lung-specific indication and device configuration before catalog inclusion.</x:v>
      </x:c>
      <x:c r="M70" s="16" t="str">
        <x:v>https://galvanizetx.com/aliya/</x:v>
      </x:c>
      <x:c r="N70" s="26" t="str">
        <x:v>2026-07-24</x:v>
      </x:c>
    </x:row>
    <x:row r="71">
      <x:c r="A71" s="16" t="str">
        <x:v>Energy &amp; ablation</x:v>
      </x:c>
      <x:c r="B71" s="16" t="str">
        <x:v>Pulsed electric field</x:v>
      </x:c>
      <x:c r="C71" s="16" t="str">
        <x:v>Galvanize Therapeutics</x:v>
      </x:c>
      <x:c r="D71" s="16" t="str">
        <x:v>Aliya System User Manual</x:v>
      </x:c>
      <x:c r="E71" s="16" t="str">
        <x:v>User manual PDF</x:v>
      </x:c>
      <x:c r="F71" s="16" t="str">
        <x:v>Both</x:v>
      </x:c>
      <x:c r="G71" s="16" t="str">
        <x:v>System components and accessories</x:v>
      </x:c>
      <x:c r="H71" s="16" t="str">
        <x:v>U.S.</x:v>
      </x:c>
      <x:c r="I71" s="16" t="str">
        <x:v>Current manual family</x:v>
      </x:c>
      <x:c r="J71" s="16" t="str">
        <x:v>Yes</x:v>
      </x:c>
      <x:c r="K71" s="16" t="str">
        <x:v>2-Secondary</x:v>
      </x:c>
      <x:c r="L71" s="16" t="str">
        <x:v>Use only with current labeling and indication verification.</x:v>
      </x:c>
      <x:c r="M71" s="16" t="str">
        <x:v>https://galvanizetx.com/wp-content/uploads/2024/05/Aliya-System-User-Manual.pdf</x:v>
      </x:c>
      <x:c r="N71" s="26" t="str">
        <x:v>2026-07-24</x:v>
      </x:c>
    </x:row>
    <x:row r="72">
      <x:c r="A72" s="16" t="str">
        <x:v>Energy &amp; ablation</x:v>
      </x:c>
      <x:c r="B72" s="16" t="str">
        <x:v>Microwave ablation</x:v>
      </x:c>
      <x:c r="C72" s="16" t="str">
        <x:v>NeuWave Medical / Quantum Surgical</x:v>
      </x:c>
      <x:c r="D72" s="16" t="str">
        <x:v>NeuWave Microwave Ablation System</x:v>
      </x:c>
      <x:c r="E72" s="16" t="str">
        <x:v>Product webpage</x:v>
      </x:c>
      <x:c r="F72" s="16" t="str">
        <x:v>Both</x:v>
      </x:c>
      <x:c r="G72" s="16" t="str">
        <x:v>Percutaneous microwave ablation including lung lesions</x:v>
      </x:c>
      <x:c r="H72" s="16" t="str">
        <x:v>U.S.</x:v>
      </x:c>
      <x:c r="I72" s="16" t="str">
        <x:v>Commercial ownership changed in 2026</x:v>
      </x:c>
      <x:c r="J72" s="16" t="str">
        <x:v>Yes</x:v>
      </x:c>
      <x:c r="K72" s="16" t="str">
        <x:v>2-Secondary</x:v>
      </x:c>
      <x:c r="L72" s="16" t="str">
        <x:v>Verify current ordering channel after acquisition by Quantum Surgical.</x:v>
      </x:c>
      <x:c r="M72" s="16" t="str">
        <x:v>https://www.neuwave.com/us/</x:v>
      </x:c>
      <x:c r="N72" s="26" t="str">
        <x:v>2026-07-24</x:v>
      </x:c>
    </x:row>
    <x:row r="73">
      <x:c r="A73" s="16" t="str">
        <x:v>Energy &amp; ablation</x:v>
      </x:c>
      <x:c r="B73" s="16" t="str">
        <x:v>Microwave ablation</x:v>
      </x:c>
      <x:c r="C73" s="16" t="str">
        <x:v>NeuWave Medical / Quantum Surgical</x:v>
      </x:c>
      <x:c r="D73" s="16" t="str">
        <x:v>NeuWave Support and Product Guides</x:v>
      </x:c>
      <x:c r="E73" s="16" t="str">
        <x:v>Resource center</x:v>
      </x:c>
      <x:c r="F73" s="16" t="str">
        <x:v>Both</x:v>
      </x:c>
      <x:c r="G73" s="16" t="str">
        <x:v>Generators, probes, accessories and support documents</x:v>
      </x:c>
      <x:c r="H73" s="16" t="str">
        <x:v>U.S.</x:v>
      </x:c>
      <x:c r="I73" s="16" t="str">
        <x:v>Live</x:v>
      </x:c>
      <x:c r="J73" s="16" t="str">
        <x:v>Yes</x:v>
      </x:c>
      <x:c r="K73" s="16" t="str">
        <x:v>2-Secondary</x:v>
      </x:c>
      <x:c r="L73" s="16" t="str">
        <x:v>Use for current manuals and probe information.</x:v>
      </x:c>
      <x:c r="M73" s="16" t="str">
        <x:v>https://www.neuwave.com/us/support/</x:v>
      </x:c>
      <x:c r="N73" s="26" t="str">
        <x:v>2026-07-24</x:v>
      </x:c>
    </x:row>
    <x:row r="74">
      <x:c r="A74" s="16" t="str">
        <x:v>Energy &amp; ablation</x:v>
      </x:c>
      <x:c r="B74" s="16" t="str">
        <x:v>Spray cryotherapy</x:v>
      </x:c>
      <x:c r="C74" s="16" t="str">
        <x:v>STERIS</x:v>
      </x:c>
      <x:c r="D74" s="16" t="str">
        <x:v>truFreeze Spray Cryotherapy System</x:v>
      </x:c>
      <x:c r="E74" s="16" t="str">
        <x:v>Product webpage</x:v>
      </x:c>
      <x:c r="F74" s="16" t="str">
        <x:v>Both</x:v>
      </x:c>
      <x:c r="G74" s="16" t="str">
        <x:v>Spray cryotherapy for airway and endoscopic applications</x:v>
      </x:c>
      <x:c r="H74" s="16" t="str">
        <x:v>U.S.</x:v>
      </x:c>
      <x:c r="I74" s="16" t="str">
        <x:v>Live</x:v>
      </x:c>
      <x:c r="J74" s="16" t="str">
        <x:v>Yes</x:v>
      </x:c>
      <x:c r="K74" s="16" t="str">
        <x:v>1-Core</x:v>
      </x:c>
      <x:c r="L74" s="16" t="str">
        <x:v>System page; separate catheter SKUs are available through STERIS shop.</x:v>
      </x:c>
      <x:c r="M74" s="16" t="str">
        <x:v>https://www.steris.com/healthcare/products/endoscopy-equipment/trufreeze-spray-cryotherapy</x:v>
      </x:c>
      <x:c r="N74" s="26" t="str">
        <x:v>2026-07-24</x:v>
      </x:c>
    </x:row>
    <x:row r="75">
      <x:c r="A75" s="16" t="str">
        <x:v>Energy &amp; ablation</x:v>
      </x:c>
      <x:c r="B75" s="16" t="str">
        <x:v>Spray cryotherapy</x:v>
      </x:c>
      <x:c r="C75" s="16" t="str">
        <x:v>STERIS</x:v>
      </x:c>
      <x:c r="D75" s="16" t="str">
        <x:v>truFreeze System and Catheters</x:v>
      </x:c>
      <x:c r="E75" s="16" t="str">
        <x:v>Online shop/catalog</x:v>
      </x:c>
      <x:c r="F75" s="16" t="str">
        <x:v>Both</x:v>
      </x:c>
      <x:c r="G75" s="16" t="str">
        <x:v>Console and disposable spray catheters</x:v>
      </x:c>
      <x:c r="H75" s="16" t="str">
        <x:v>U.S.</x:v>
      </x:c>
      <x:c r="I75" s="16" t="str">
        <x:v>Live</x:v>
      </x:c>
      <x:c r="J75" s="16" t="str">
        <x:v>Yes</x:v>
      </x:c>
      <x:c r="K75" s="16" t="str">
        <x:v>1-Core</x:v>
      </x:c>
      <x:c r="L75" s="16" t="str">
        <x:v>Ordering source; access may require account/login.</x:v>
      </x:c>
      <x:c r="M75" s="16" t="str">
        <x:v>https://shop.steris.com/en/us/endoscopy-equipment/trufreeze-spray-cryotherapy-system</x:v>
      </x:c>
      <x:c r="N75" s="26" t="str">
        <x:v>2026-07-24</x:v>
      </x:c>
    </x:row>
    <x:row r="76">
      <x:c r="A76" s="16" t="str">
        <x:v>Pleural procedures</x:v>
      </x:c>
      <x:c r="B76" s="16" t="str">
        <x:v>Indwelling pleural catheter</x:v>
      </x:c>
      <x:c r="C76" s="16" t="str">
        <x:v>BD</x:v>
      </x:c>
      <x:c r="D76" s="16" t="str">
        <x:v>PleurX Drainage Catheter System</x:v>
      </x:c>
      <x:c r="E76" s="16" t="str">
        <x:v>Product webpage</x:v>
      </x:c>
      <x:c r="F76" s="16" t="str">
        <x:v>Disposable</x:v>
      </x:c>
      <x:c r="G76" s="16" t="str">
        <x:v>Indwelling pleural catheter placement and home drainage</x:v>
      </x:c>
      <x:c r="H76" s="16" t="str">
        <x:v>U.S.</x:v>
      </x:c>
      <x:c r="I76" s="16" t="str">
        <x:v>Live</x:v>
      </x:c>
      <x:c r="J76" s="16" t="str">
        <x:v>Yes</x:v>
      </x:c>
      <x:c r="K76" s="16" t="str">
        <x:v>1-Core</x:v>
      </x:c>
      <x:c r="L76" s="16" t="str">
        <x:v>Current product gateway; obtain U.S. ordering guide from BD.</x:v>
      </x:c>
      <x:c r="M76" s="16" t="str">
        <x:v>https://www.bd.com/en-us/products-and-solutions/products/product-families/pleurx-drainage-catheter-system</x:v>
      </x:c>
      <x:c r="N76" s="26" t="str">
        <x:v>2026-07-24</x:v>
      </x:c>
    </x:row>
    <x:row r="77">
      <x:c r="A77" s="16" t="str">
        <x:v>Pleural procedures</x:v>
      </x:c>
      <x:c r="B77" s="16" t="str">
        <x:v>Indwelling pleural catheter</x:v>
      </x:c>
      <x:c r="C77" s="16" t="str">
        <x:v>BD</x:v>
      </x:c>
      <x:c r="D77" s="16" t="str">
        <x:v>PleurX Catheter Tray Components</x:v>
      </x:c>
      <x:c r="E77" s="16" t="str">
        <x:v>Component guide PDF</x:v>
      </x:c>
      <x:c r="F77" s="16" t="str">
        <x:v>Disposable</x:v>
      </x:c>
      <x:c r="G77" s="16" t="str">
        <x:v>IPC insertion tray and component identification</x:v>
      </x:c>
      <x:c r="H77" s="16" t="str">
        <x:v>U.S.</x:v>
      </x:c>
      <x:c r="I77" s="16" t="str">
        <x:v>Current product family</x:v>
      </x:c>
      <x:c r="J77" s="16" t="str">
        <x:v>Yes</x:v>
      </x:c>
      <x:c r="K77" s="16" t="str">
        <x:v>1-Core</x:v>
      </x:c>
      <x:c r="L77" s="16" t="str">
        <x:v>Useful kit-content reference.</x:v>
      </x:c>
      <x:c r="M77" s="16" t="str">
        <x:v>https://www.bd.com/content/dam/bd-assets/na/medication-management-solutions/documents/brochure/pleurx-catheter-tray-components.pdf</x:v>
      </x:c>
      <x:c r="N77" s="26" t="str">
        <x:v>2026-07-24</x:v>
      </x:c>
    </x:row>
    <x:row r="78">
      <x:c r="A78" s="16" t="str">
        <x:v>Pleural procedures</x:v>
      </x:c>
      <x:c r="B78" s="16" t="str">
        <x:v>Indwelling pleural catheter</x:v>
      </x:c>
      <x:c r="C78" s="16" t="str">
        <x:v>Merit Medical</x:v>
      </x:c>
      <x:c r="D78" s="16" t="str">
        <x:v>Aspira Drainage System Brochure</x:v>
      </x:c>
      <x:c r="E78" s="16" t="str">
        <x:v>Portfolio brochure PDF</x:v>
      </x:c>
      <x:c r="F78" s="16" t="str">
        <x:v>Disposable</x:v>
      </x:c>
      <x:c r="G78" s="16" t="str">
        <x:v>Indwelling pleural/peritoneal drainage, bag and bottle options</x:v>
      </x:c>
      <x:c r="H78" s="16" t="str">
        <x:v>U.S.</x:v>
      </x:c>
      <x:c r="I78" s="16" t="str">
        <x:v>Current product family</x:v>
      </x:c>
      <x:c r="J78" s="16" t="str">
        <x:v>Yes</x:v>
      </x:c>
      <x:c r="K78" s="16" t="str">
        <x:v>1-Core</x:v>
      </x:c>
      <x:c r="L78" s="16" t="str">
        <x:v>Includes system components and ordering information.</x:v>
      </x:c>
      <x:c r="M78" s="16" t="str">
        <x:v>https://cloud.merit.com/catalog/Brochures/401150001.pdf</x:v>
      </x:c>
      <x:c r="N78" s="26" t="str">
        <x:v>2026-07-24</x:v>
      </x:c>
    </x:row>
    <x:row r="79">
      <x:c r="A79" s="16" t="str">
        <x:v>Pleural procedures</x:v>
      </x:c>
      <x:c r="B79" s="16" t="str">
        <x:v>Indwelling pleural catheter</x:v>
      </x:c>
      <x:c r="C79" s="16" t="str">
        <x:v>Merit Medical</x:v>
      </x:c>
      <x:c r="D79" s="16" t="str">
        <x:v>Aspira Drainage System</x:v>
      </x:c>
      <x:c r="E79" s="16" t="str">
        <x:v>Product webpage</x:v>
      </x:c>
      <x:c r="F79" s="16" t="str">
        <x:v>Disposable</x:v>
      </x:c>
      <x:c r="G79" s="16" t="str">
        <x:v>IPC placement and outpatient drainage</x:v>
      </x:c>
      <x:c r="H79" s="16" t="str">
        <x:v>U.S.</x:v>
      </x:c>
      <x:c r="I79" s="16" t="str">
        <x:v>Live</x:v>
      </x:c>
      <x:c r="J79" s="16" t="str">
        <x:v>Yes</x:v>
      </x:c>
      <x:c r="K79" s="16" t="str">
        <x:v>1-Core</x:v>
      </x:c>
      <x:c r="L79" s="16" t="str">
        <x:v>Current product and clinical-resource gateway.</x:v>
      </x:c>
      <x:c r="M79" s="16" t="str">
        <x:v>https://www.merit.com/product/aspira-drainage-system/</x:v>
      </x:c>
      <x:c r="N79" s="26" t="str">
        <x:v>2026-07-24</x:v>
      </x:c>
    </x:row>
    <x:row r="80">
      <x:c r="A80" s="16" t="str">
        <x:v>Pleural procedures</x:v>
      </x:c>
      <x:c r="B80" s="16" t="str">
        <x:v>Indwelling pleural catheter</x:v>
      </x:c>
      <x:c r="C80" s="16" t="str">
        <x:v>Rocket Medical</x:v>
      </x:c>
      <x:c r="D80" s="16" t="str">
        <x:v>Rocket IPC Portfolio</x:v>
      </x:c>
      <x:c r="E80" s="16" t="str">
        <x:v>Product webpage</x:v>
      </x:c>
      <x:c r="F80" s="16" t="str">
        <x:v>Disposable</x:v>
      </x:c>
      <x:c r="G80" s="16" t="str">
        <x:v>IPC insertion, drainage and home management</x:v>
      </x:c>
      <x:c r="H80" s="16" t="str">
        <x:v>U.S.</x:v>
      </x:c>
      <x:c r="I80" s="16" t="str">
        <x:v>Live</x:v>
      </x:c>
      <x:c r="J80" s="16" t="str">
        <x:v>Yes</x:v>
      </x:c>
      <x:c r="K80" s="16" t="str">
        <x:v>1-Core</x:v>
      </x:c>
      <x:c r="L80" s="16" t="str">
        <x:v>Current U.S. portfolio and support gateway.</x:v>
      </x:c>
      <x:c r="M80" s="16" t="str">
        <x:v>https://rocketmedical.com/usa/product/rocket-indwelling-pleural-catheter/</x:v>
      </x:c>
      <x:c r="N80" s="26" t="str">
        <x:v>2026-07-24</x:v>
      </x:c>
    </x:row>
    <x:row r="81">
      <x:c r="A81" s="16" t="str">
        <x:v>Pleural procedures</x:v>
      </x:c>
      <x:c r="B81" s="16" t="str">
        <x:v>Pneumothorax drainage</x:v>
      </x:c>
      <x:c r="C81" s="16" t="str">
        <x:v>Cook Medical</x:v>
      </x:c>
      <x:c r="D81" s="16" t="str">
        <x:v>Wayne Pneumothorax Catheter Set</x:v>
      </x:c>
      <x:c r="E81" s="16" t="str">
        <x:v>Product webpage</x:v>
      </x:c>
      <x:c r="F81" s="16" t="str">
        <x:v>Disposable</x:v>
      </x:c>
      <x:c r="G81" s="16" t="str">
        <x:v>Small-bore pneumothorax drainage</x:v>
      </x:c>
      <x:c r="H81" s="16" t="str">
        <x:v>U.S.</x:v>
      </x:c>
      <x:c r="I81" s="16" t="str">
        <x:v>Live</x:v>
      </x:c>
      <x:c r="J81" s="16" t="str">
        <x:v>Yes</x:v>
      </x:c>
      <x:c r="K81" s="16" t="str">
        <x:v>1-Core</x:v>
      </x:c>
      <x:c r="L81" s="16" t="str">
        <x:v>Specifications and set components.</x:v>
      </x:c>
      <x:c r="M81" s="16" t="str">
        <x:v>https://www.cookmedical.com/products/cc_wayne_webds/</x:v>
      </x:c>
      <x:c r="N81" s="26" t="str">
        <x:v>2026-07-24</x:v>
      </x:c>
    </x:row>
    <x:row r="82">
      <x:c r="A82" s="16" t="str">
        <x:v>Pleural procedures</x:v>
      </x:c>
      <x:c r="B82" s="16" t="str">
        <x:v>Pleural drainage</x:v>
      </x:c>
      <x:c r="C82" s="16" t="str">
        <x:v>Cook Medical</x:v>
      </x:c>
      <x:c r="D82" s="16" t="str">
        <x:v>Fuhrman Pleural/Pneumopericardial Drainage Set</x:v>
      </x:c>
      <x:c r="E82" s="16" t="str">
        <x:v>Product webpage</x:v>
      </x:c>
      <x:c r="F82" s="16" t="str">
        <x:v>Disposable</x:v>
      </x:c>
      <x:c r="G82" s="16" t="str">
        <x:v>Pleural and pneumopericardial drainage</x:v>
      </x:c>
      <x:c r="H82" s="16" t="str">
        <x:v>U.S.</x:v>
      </x:c>
      <x:c r="I82" s="16" t="str">
        <x:v>Live</x:v>
      </x:c>
      <x:c r="J82" s="16" t="str">
        <x:v>Yes</x:v>
      </x:c>
      <x:c r="K82" s="16" t="str">
        <x:v>1-Core</x:v>
      </x:c>
      <x:c r="L82" s="16" t="str">
        <x:v>Specifications and set components.</x:v>
      </x:c>
      <x:c r="M82" s="16" t="str">
        <x:v>https://www.cookmedical.com/products/cc_fuhrman_webds/</x:v>
      </x:c>
      <x:c r="N82" s="26" t="str">
        <x:v>2026-07-24</x:v>
      </x:c>
    </x:row>
    <x:row r="83">
      <x:c r="A83" s="16" t="str">
        <x:v>Pleural procedures</x:v>
      </x:c>
      <x:c r="B83" s="16" t="str">
        <x:v>Chest tube</x:v>
      </x:c>
      <x:c r="C83" s="16" t="str">
        <x:v>Cook Medical</x:v>
      </x:c>
      <x:c r="D83" s="16" t="str">
        <x:v>Thal-Quick Chest Tube Set</x:v>
      </x:c>
      <x:c r="E83" s="16" t="str">
        <x:v>Product webpage</x:v>
      </x:c>
      <x:c r="F83" s="16" t="str">
        <x:v>Disposable</x:v>
      </x:c>
      <x:c r="G83" s="16" t="str">
        <x:v>Percutaneous chest tube placement</x:v>
      </x:c>
      <x:c r="H83" s="16" t="str">
        <x:v>U.S.</x:v>
      </x:c>
      <x:c r="I83" s="16" t="str">
        <x:v>Live</x:v>
      </x:c>
      <x:c r="J83" s="16" t="str">
        <x:v>Yes</x:v>
      </x:c>
      <x:c r="K83" s="16" t="str">
        <x:v>1-Core</x:v>
      </x:c>
      <x:c r="L83" s="16" t="str">
        <x:v>Specifications and set components.</x:v>
      </x:c>
      <x:c r="M83" s="16" t="str">
        <x:v>https://www.cookmedical.com/products/cc_thalquick_webds/</x:v>
      </x:c>
      <x:c r="N83" s="26" t="str">
        <x:v>2026-07-24</x:v>
      </x:c>
    </x:row>
    <x:row r="84">
      <x:c r="A84" s="16" t="str">
        <x:v>Pleural procedures</x:v>
      </x:c>
      <x:c r="B84" s="16" t="str">
        <x:v>Thoracentesis/drainage</x:v>
      </x:c>
      <x:c r="C84" s="16" t="str">
        <x:v>Teleflex</x:v>
      </x:c>
      <x:c r="D84" s="16" t="str">
        <x:v>Arrow Diagnostic and Drainage Products</x:v>
      </x:c>
      <x:c r="E84" s="16" t="str">
        <x:v>Portfolio brochure PDF</x:v>
      </x:c>
      <x:c r="F84" s="16" t="str">
        <x:v>Disposable</x:v>
      </x:c>
      <x:c r="G84" s="16" t="str">
        <x:v>Thoracentesis and drainage catheter systems</x:v>
      </x:c>
      <x:c r="H84" s="16" t="str">
        <x:v>U.S.</x:v>
      </x:c>
      <x:c r="I84" s="16" t="str">
        <x:v>Current</x:v>
      </x:c>
      <x:c r="J84" s="16" t="str">
        <x:v>Yes</x:v>
      </x:c>
      <x:c r="K84" s="16" t="str">
        <x:v>1-Core</x:v>
      </x:c>
      <x:c r="L84" s="16" t="str">
        <x:v>Includes Arrow-Clarke thoracentesis catheter and related products.</x:v>
      </x:c>
      <x:c r="M84" s="16" t="str">
        <x:v>https://www.teleflex.com/usa/en/product-areas/interventional/drainage/arrow-diagnostic-drainage-products/MC-006078_Interventional_DND_Product_Line_Brochure_Final.pdf</x:v>
      </x:c>
      <x:c r="N84" s="26" t="str">
        <x:v>2026-07-24</x:v>
      </x:c>
    </x:row>
    <x:row r="85">
      <x:c r="A85" s="16" t="str">
        <x:v>Pleural procedures</x:v>
      </x:c>
      <x:c r="B85" s="16" t="str">
        <x:v>Talc pleurodesis</x:v>
      </x:c>
      <x:c r="C85" s="16" t="str">
        <x:v>NOVATECH</x:v>
      </x:c>
      <x:c r="D85" s="16" t="str">
        <x:v>STERITALC for Talc Pleurodesis</x:v>
      </x:c>
      <x:c r="E85" s="16" t="str">
        <x:v>Catalog PDF</x:v>
      </x:c>
      <x:c r="F85" s="16" t="str">
        <x:v>Disposable</x:v>
      </x:c>
      <x:c r="G85" s="16" t="str">
        <x:v>Medical/surgical talc pleurodesis</x:v>
      </x:c>
      <x:c r="H85" s="16" t="str">
        <x:v>OUS/global; verify U.S. availability</x:v>
      </x:c>
      <x:c r="I85" s="16" t="str">
        <x:v>2022</x:v>
      </x:c>
      <x:c r="J85" s="16" t="str">
        <x:v>Yes</x:v>
      </x:c>
      <x:c r="K85" s="16" t="str">
        <x:v>3-Legacy/verify</x:v>
      </x:c>
      <x:c r="L85" s="16" t="str">
        <x:v>Do not assume U.S. availability from global catalog.</x:v>
      </x:c>
      <x:c r="M85" s="16" t="str">
        <x:v>https://novatech.fr/fileadmin/user_upload/ELO-Sync_Kataloge/NOV/EN/NOV-MR-PCA-STE_STERITALC_EN.pdf</x:v>
      </x:c>
      <x:c r="N85" s="26" t="str">
        <x:v>2026-07-24</x:v>
      </x:c>
    </x:row>
    <x:row r="86">
      <x:c r="A86" s="16" t="str">
        <x:v>Chest drainage</x:v>
      </x:c>
      <x:c r="B86" s="16" t="str">
        <x:v>Analog chest drainage</x:v>
      </x:c>
      <x:c r="C86" s="16" t="str">
        <x:v>Getinge / Atrium</x:v>
      </x:c>
      <x:c r="D86" s="16" t="str">
        <x:v>Atrium Oasis Dry Suction Water Seal Chest Drain</x:v>
      </x:c>
      <x:c r="E86" s="16" t="str">
        <x:v>Product webpage</x:v>
      </x:c>
      <x:c r="F86" s="16" t="str">
        <x:v>Disposable</x:v>
      </x:c>
      <x:c r="G86" s="16" t="str">
        <x:v>Post-procedure chest drainage and air-leak monitoring</x:v>
      </x:c>
      <x:c r="H86" s="16" t="str">
        <x:v>U.S.</x:v>
      </x:c>
      <x:c r="I86" s="16" t="str">
        <x:v>Live</x:v>
      </x:c>
      <x:c r="J86" s="16" t="str">
        <x:v>Yes</x:v>
      </x:c>
      <x:c r="K86" s="16" t="str">
        <x:v>1-Core</x:v>
      </x:c>
      <x:c r="L86" s="16" t="str">
        <x:v>Ordering and educational resources are linked.</x:v>
      </x:c>
      <x:c r="M86" s="16" t="str">
        <x:v>https://www.getinge.com/int/products/atrium-oasis-dry-suction-water-seal-chest-drain/</x:v>
      </x:c>
      <x:c r="N86" s="26" t="str">
        <x:v>2026-07-24</x:v>
      </x:c>
    </x:row>
    <x:row r="87">
      <x:c r="A87" s="16" t="str">
        <x:v>Chest drainage</x:v>
      </x:c>
      <x:c r="B87" s="16" t="str">
        <x:v>Portable chest drainage</x:v>
      </x:c>
      <x:c r="C87" s="16" t="str">
        <x:v>Getinge / Atrium</x:v>
      </x:c>
      <x:c r="D87" s="16" t="str">
        <x:v>Atrium Express Dry Seal Chest Drain</x:v>
      </x:c>
      <x:c r="E87" s="16" t="str">
        <x:v>Product webpage</x:v>
      </x:c>
      <x:c r="F87" s="16" t="str">
        <x:v>Disposable</x:v>
      </x:c>
      <x:c r="G87" s="16" t="str">
        <x:v>Portable dry-seal chest drainage</x:v>
      </x:c>
      <x:c r="H87" s="16" t="str">
        <x:v>U.S.</x:v>
      </x:c>
      <x:c r="I87" s="16" t="str">
        <x:v>Live</x:v>
      </x:c>
      <x:c r="J87" s="16" t="str">
        <x:v>Yes</x:v>
      </x:c>
      <x:c r="K87" s="16" t="str">
        <x:v>2-Secondary</x:v>
      </x:c>
      <x:c r="L87" s="16" t="str">
        <x:v>Includes related mobile drainage products.</x:v>
      </x:c>
      <x:c r="M87" s="16" t="str">
        <x:v>https://www.getinge.com/us/products/express-dry-seal-chest-drain/</x:v>
      </x:c>
      <x:c r="N87" s="26" t="str">
        <x:v>2026-07-24</x:v>
      </x:c>
    </x:row>
    <x:row r="88">
      <x:c r="A88" s="16" t="str">
        <x:v>Chest drainage</x:v>
      </x:c>
      <x:c r="B88" s="16" t="str">
        <x:v>Digital chest drainage</x:v>
      </x:c>
      <x:c r="C88" s="16" t="str">
        <x:v>Medela</x:v>
      </x:c>
      <x:c r="D88" s="16" t="str">
        <x:v>Thopaz+ Digital Chest Drainage System</x:v>
      </x:c>
      <x:c r="E88" s="16" t="str">
        <x:v>Product webpage</x:v>
      </x:c>
      <x:c r="F88" s="16" t="str">
        <x:v>Both</x:v>
      </x:c>
      <x:c r="G88" s="16" t="str">
        <x:v>Digital air-leak, fluid and pressure monitoring after thoracic interventions</x:v>
      </x:c>
      <x:c r="H88" s="16" t="str">
        <x:v>U.S.</x:v>
      </x:c>
      <x:c r="I88" s="16" t="str">
        <x:v>Live</x:v>
      </x:c>
      <x:c r="J88" s="16" t="str">
        <x:v>Yes</x:v>
      </x:c>
      <x:c r="K88" s="16" t="str">
        <x:v>1-Core</x:v>
      </x:c>
      <x:c r="L88" s="16" t="str">
        <x:v>Capital pump plus disposable canisters/tubing; request U.S. ordering guide.</x:v>
      </x:c>
      <x:c r="M88" s="16" t="str">
        <x:v>https://www.medela.com/en-us/surgical-woundcare/solutions/chest-drainage/thopaz-digital-chest-drainage-and-monitoring-system-for-use-after-thoracic-surgery-and-interventions</x:v>
      </x:c>
      <x:c r="N88" s="26" t="str">
        <x:v>2026-07-24</x:v>
      </x:c>
    </x:row>
    <x:row r="89">
      <x:c r="A89" s="16" t="str">
        <x:v>Tracheostomy</x:v>
      </x:c>
      <x:c r="B89" s="16" t="str">
        <x:v>Tracheostomy tubes</x:v>
      </x:c>
      <x:c r="C89" s="16" t="str">
        <x:v>Medtronic</x:v>
      </x:c>
      <x:c r="D89" s="16" t="str">
        <x:v>Shiley Tracheostomy Products Quick Reference Guide</x:v>
      </x:c>
      <x:c r="E89" s="16" t="str">
        <x:v>Quick reference PDF</x:v>
      </x:c>
      <x:c r="F89" s="16" t="str">
        <x:v>Disposable/reusable components</x:v>
      </x:c>
      <x:c r="G89" s="16" t="str">
        <x:v>Adult and pediatric tracheostomy tubes and accessories</x:v>
      </x:c>
      <x:c r="H89" s="16" t="str">
        <x:v>U.S.</x:v>
      </x:c>
      <x:c r="I89" s="16" t="str">
        <x:v>Current product family</x:v>
      </x:c>
      <x:c r="J89" s="16" t="str">
        <x:v>Yes</x:v>
      </x:c>
      <x:c r="K89" s="16" t="str">
        <x:v>1-Core</x:v>
      </x:c>
      <x:c r="L89" s="16" t="str">
        <x:v>High-yield size and configuration reference.</x:v>
      </x:c>
      <x:c r="M89" s="16" t="str">
        <x:v>https://www.medtronic.com/content/dam/covidien/library/us/en/product/tracheostomy/shiley-tracheostomy-products-quick-reference-guide.pdf</x:v>
      </x:c>
      <x:c r="N89" s="26" t="str">
        <x:v>2026-07-24</x:v>
      </x:c>
    </x:row>
    <x:row r="90">
      <x:c r="A90" s="16" t="str">
        <x:v>Tracheostomy</x:v>
      </x:c>
      <x:c r="B90" s="16" t="str">
        <x:v>Tracheostomy tubes</x:v>
      </x:c>
      <x:c r="C90" s="16" t="str">
        <x:v>Medtronic</x:v>
      </x:c>
      <x:c r="D90" s="16" t="str">
        <x:v>Shiley Tracheostomy Product Guide</x:v>
      </x:c>
      <x:c r="E90" s="16" t="str">
        <x:v>Product guide PDF</x:v>
      </x:c>
      <x:c r="F90" s="16" t="str">
        <x:v>Disposable/reusable components</x:v>
      </x:c>
      <x:c r="G90" s="16" t="str">
        <x:v>Tracheostomy tubes, inner cannulas and accessories</x:v>
      </x:c>
      <x:c r="H90" s="16" t="str">
        <x:v>U.S.</x:v>
      </x:c>
      <x:c r="I90" s="16" t="str">
        <x:v>Current product family</x:v>
      </x:c>
      <x:c r="J90" s="16" t="str">
        <x:v>Yes</x:v>
      </x:c>
      <x:c r="K90" s="16" t="str">
        <x:v>1-Core</x:v>
      </x:c>
      <x:c r="L90" s="16" t="str">
        <x:v>Broader product guide than the quick-reference sheet.</x:v>
      </x:c>
      <x:c r="M90" s="16" t="str">
        <x:v>https://www.medtronic.com/content/dam/covidien/library/us/en/product/tracheostomy/shiley-tracheostomy-product-guide.pdf</x:v>
      </x:c>
      <x:c r="N90" s="26" t="str">
        <x:v>2026-07-24</x:v>
      </x:c>
    </x:row>
    <x:row r="91">
      <x:c r="A91" s="16" t="str">
        <x:v>Tracheostomy</x:v>
      </x:c>
      <x:c r="B91" s="16" t="str">
        <x:v>Tracheostomy tubes</x:v>
      </x:c>
      <x:c r="C91" s="16" t="str">
        <x:v>ICU Medical</x:v>
      </x:c>
      <x:c r="D91" s="16" t="str">
        <x:v>Portex BLUselect Tracheostomy Tubes</x:v>
      </x:c>
      <x:c r="E91" s="16" t="str">
        <x:v>Product webpage</x:v>
      </x:c>
      <x:c r="F91" s="16" t="str">
        <x:v>Disposable</x:v>
      </x:c>
      <x:c r="G91" s="16" t="str">
        <x:v>Adult tracheostomy tubes and accessories</x:v>
      </x:c>
      <x:c r="H91" s="16" t="str">
        <x:v>U.S.</x:v>
      </x:c>
      <x:c r="I91" s="16" t="str">
        <x:v>Live</x:v>
      </x:c>
      <x:c r="J91" s="16" t="str">
        <x:v>Yes</x:v>
      </x:c>
      <x:c r="K91" s="16" t="str">
        <x:v>1-Core</x:v>
      </x:c>
      <x:c r="L91" s="16" t="str">
        <x:v>Includes ordering information.</x:v>
      </x:c>
      <x:c r="M91" s="16" t="str">
        <x:v>https://www.icumed.com/products/airway-management/tracheostomy/portex-bluselect-tracheostomy-tubes/</x:v>
      </x:c>
      <x:c r="N91" s="26" t="str">
        <x:v>2026-07-24</x:v>
      </x:c>
    </x:row>
    <x:row r="92">
      <x:c r="A92" s="16" t="str">
        <x:v>Tracheostomy</x:v>
      </x:c>
      <x:c r="B92" s="16" t="str">
        <x:v>Percutaneous tracheostomy</x:v>
      </x:c>
      <x:c r="C92" s="16" t="str">
        <x:v>ICU Medical</x:v>
      </x:c>
      <x:c r="D92" s="16" t="str">
        <x:v>BLUperc and BLUgriggs Percutaneous Tracheostomy Kits</x:v>
      </x:c>
      <x:c r="E92" s="16" t="str">
        <x:v>Product webpage</x:v>
      </x:c>
      <x:c r="F92" s="16" t="str">
        <x:v>Disposable</x:v>
      </x:c>
      <x:c r="G92" s="16" t="str">
        <x:v>Percutaneous dilational tracheostomy</x:v>
      </x:c>
      <x:c r="H92" s="16" t="str">
        <x:v>U.S.</x:v>
      </x:c>
      <x:c r="I92" s="16" t="str">
        <x:v>Live</x:v>
      </x:c>
      <x:c r="J92" s="16" t="str">
        <x:v>Yes</x:v>
      </x:c>
      <x:c r="K92" s="16" t="str">
        <x:v>1-Core</x:v>
      </x:c>
      <x:c r="L92" s="16" t="str">
        <x:v>Kit variants and components.</x:v>
      </x:c>
      <x:c r="M92" s="16" t="str">
        <x:v>https://www.icumed.com/products/airway-management/tracheostomy/percutaneous-tracheostomy-kits/</x:v>
      </x:c>
      <x:c r="N92" s="26" t="str">
        <x:v>2026-07-24</x:v>
      </x:c>
    </x:row>
    <x:row r="93">
      <x:c r="A93" s="16" t="str">
        <x:v>Reprocessing</x:v>
      </x:c>
      <x:c r="B93" s="16" t="str">
        <x:v>Automated endoscope reprocessor</x:v>
      </x:c>
      <x:c r="C93" s="16" t="str">
        <x:v>Olympus</x:v>
      </x:c>
      <x:c r="D93" s="16" t="str">
        <x:v>OER-Elite Endoscope Reprocessor</x:v>
      </x:c>
      <x:c r="E93" s="16" t="str">
        <x:v>Product webpage</x:v>
      </x:c>
      <x:c r="F93" s="16" t="str">
        <x:v>Capital plus consumables</x:v>
      </x:c>
      <x:c r="G93" s="16" t="str">
        <x:v>High-level disinfection of compatible endoscopes</x:v>
      </x:c>
      <x:c r="H93" s="16" t="str">
        <x:v>U.S.</x:v>
      </x:c>
      <x:c r="I93" s="16" t="str">
        <x:v>Live</x:v>
      </x:c>
      <x:c r="J93" s="16" t="str">
        <x:v>Yes</x:v>
      </x:c>
      <x:c r="K93" s="16" t="str">
        <x:v>1-Core</x:v>
      </x:c>
      <x:c r="L93" s="16" t="str">
        <x:v>Confirm bronchoscope compatibility by exact model.</x:v>
      </x:c>
      <x:c r="M93" s="16" t="str">
        <x:v>https://medical.olympusamerica.com/products/oer-elite</x:v>
      </x:c>
      <x:c r="N93" s="26" t="str">
        <x:v>2026-07-24</x:v>
      </x:c>
    </x:row>
    <x:row r="94">
      <x:c r="A94" s="16" t="str">
        <x:v>Reprocessing</x:v>
      </x:c>
      <x:c r="B94" s="16" t="str">
        <x:v>Automated endoscope reprocessor</x:v>
      </x:c>
      <x:c r="C94" s="16" t="str">
        <x:v>Olympus</x:v>
      </x:c>
      <x:c r="D94" s="16" t="str">
        <x:v>OER-Pro Endoscope Reprocessor Brochure</x:v>
      </x:c>
      <x:c r="E94" s="16" t="str">
        <x:v>System brochure PDF</x:v>
      </x:c>
      <x:c r="F94" s="16" t="str">
        <x:v>Capital plus consumables</x:v>
      </x:c>
      <x:c r="G94" s="16" t="str">
        <x:v>High-level disinfection of compatible endoscopes</x:v>
      </x:c>
      <x:c r="H94" s="16" t="str">
        <x:v>U.S.</x:v>
      </x:c>
      <x:c r="I94" s="16" t="str">
        <x:v>Legacy/currentness must be verified</x:v>
      </x:c>
      <x:c r="J94" s="16" t="str">
        <x:v>Yes</x:v>
      </x:c>
      <x:c r="K94" s="16" t="str">
        <x:v>3-Legacy/verify</x:v>
      </x:c>
      <x:c r="L94" s="16" t="str">
        <x:v>Retained for installed-base support; confirm current sales status.</x:v>
      </x:c>
      <x:c r="M94" s="16" t="str">
        <x:v>https://medical.olympusamerica.com/sites/default/files/us/files/pdf/OER-Pro-Brochure.pdf</x:v>
      </x:c>
      <x:c r="N94" s="26" t="str">
        <x:v>2026-07-24</x:v>
      </x:c>
    </x:row>
    <x:row r="95">
      <x:c r="A95" s="16" t="str">
        <x:v>Reprocessing</x:v>
      </x:c>
      <x:c r="B95" s="16" t="str">
        <x:v>Automated endoscope reprocessor</x:v>
      </x:c>
      <x:c r="C95" s="16" t="str">
        <x:v>Olympus</x:v>
      </x:c>
      <x:c r="D95" s="16" t="str">
        <x:v>OER-Mini Endoscope Reprocessor</x:v>
      </x:c>
      <x:c r="E95" s="16" t="str">
        <x:v>Product webpage</x:v>
      </x:c>
      <x:c r="F95" s="16" t="str">
        <x:v>Capital plus consumables</x:v>
      </x:c>
      <x:c r="G95" s="16" t="str">
        <x:v>Endoscope reprocessing</x:v>
      </x:c>
      <x:c r="H95" s="16" t="str">
        <x:v>U.S./global; verify U.S.</x:v>
      </x:c>
      <x:c r="I95" s="16" t="str">
        <x:v>Live regional page</x:v>
      </x:c>
      <x:c r="J95" s="16" t="str">
        <x:v>Yes</x:v>
      </x:c>
      <x:c r="K95" s="16" t="str">
        <x:v>2-Secondary</x:v>
      </x:c>
      <x:c r="L95" s="16" t="str">
        <x:v>Check compatibility and market availability.</x:v>
      </x:c>
      <x:c r="M95" s="16" t="str">
        <x:v>https://medical.olympusamerica.com/products/oer-mini</x:v>
      </x:c>
      <x:c r="N95" s="26" t="str">
        <x:v>2026-07-24</x:v>
      </x:c>
    </x:row>
    <x:row r="96">
      <x:c r="A96" s="16" t="str">
        <x:v>Reprocessing</x:v>
      </x:c>
      <x:c r="B96" s="16" t="str">
        <x:v>Disinfectant</x:v>
      </x:c>
      <x:c r="C96" s="16" t="str">
        <x:v>Olympus</x:v>
      </x:c>
      <x:c r="D96" s="16" t="str">
        <x:v>Acecide-C High-Level Disinfectant Brochure</x:v>
      </x:c>
      <x:c r="E96" s="16" t="str">
        <x:v>Product brochure PDF</x:v>
      </x:c>
      <x:c r="F96" s="16" t="str">
        <x:v>Consumable</x:v>
      </x:c>
      <x:c r="G96" s="16" t="str">
        <x:v>AER chemistry for compatible endoscopes</x:v>
      </x:c>
      <x:c r="H96" s="16" t="str">
        <x:v>U.S.</x:v>
      </x:c>
      <x:c r="I96" s="16" t="str">
        <x:v>Current product family</x:v>
      </x:c>
      <x:c r="J96" s="16" t="str">
        <x:v>Yes</x:v>
      </x:c>
      <x:c r="K96" s="16" t="str">
        <x:v>1-Core</x:v>
      </x:c>
      <x:c r="L96" s="16" t="str">
        <x:v>Use only with compatible reprocessor and current labeling.</x:v>
      </x:c>
      <x:c r="M96" s="16" t="str">
        <x:v>https://medical.olympusamerica.com/sites/default/files/us/files/pdf/Acecide-C-Brochure.pdf</x:v>
      </x:c>
      <x:c r="N96" s="26" t="str">
        <x:v>2026-07-24</x:v>
      </x:c>
    </x:row>
    <x:row r="97">
      <x:c r="A97" s="16" t="str">
        <x:v>Reprocessing</x:v>
      </x:c>
      <x:c r="B97" s="16" t="str">
        <x:v>Leak testing</x:v>
      </x:c>
      <x:c r="C97" s="16" t="str">
        <x:v>Olympus</x:v>
      </x:c>
      <x:c r="D97" s="16" t="str">
        <x:v>ALT-Pro Automated Endoscope Leak Tester</x:v>
      </x:c>
      <x:c r="E97" s="16" t="str">
        <x:v>Product webpage</x:v>
      </x:c>
      <x:c r="F97" s="16" t="str">
        <x:v>Capital</x:v>
      </x:c>
      <x:c r="G97" s="16" t="str">
        <x:v>Endoscope leak testing before reprocessing</x:v>
      </x:c>
      <x:c r="H97" s="16" t="str">
        <x:v>U.S.</x:v>
      </x:c>
      <x:c r="I97" s="16" t="str">
        <x:v>Live</x:v>
      </x:c>
      <x:c r="J97" s="16" t="str">
        <x:v>Yes</x:v>
      </x:c>
      <x:c r="K97" s="16" t="str">
        <x:v>2-Secondary</x:v>
      </x:c>
      <x:c r="L97" s="16" t="str">
        <x:v>Verify scope compatibility.</x:v>
      </x:c>
      <x:c r="M97" s="16" t="str">
        <x:v>https://medical.olympusamerica.com/products/alt-pro</x:v>
      </x:c>
      <x:c r="N97" s="26" t="str">
        <x:v>2026-07-24</x:v>
      </x:c>
    </x:row>
    <x:row r="98">
      <x:c r="A98" s="16" t="str">
        <x:v>Reprocessing</x:v>
      </x:c>
      <x:c r="B98" s="16" t="str">
        <x:v>Drying/storage</x:v>
      </x:c>
      <x:c r="C98" s="16" t="str">
        <x:v>Olympus</x:v>
      </x:c>
      <x:c r="D98" s="16" t="str">
        <x:v>ScopeLocker Endoscope Storage</x:v>
      </x:c>
      <x:c r="E98" s="16" t="str">
        <x:v>Product webpage</x:v>
      </x:c>
      <x:c r="F98" s="16" t="str">
        <x:v>Capital</x:v>
      </x:c>
      <x:c r="G98" s="16" t="str">
        <x:v>Drying and storage of reprocessed endoscopes</x:v>
      </x:c>
      <x:c r="H98" s="16" t="str">
        <x:v>U.S.</x:v>
      </x:c>
      <x:c r="I98" s="16" t="str">
        <x:v>Live</x:v>
      </x:c>
      <x:c r="J98" s="16" t="str">
        <x:v>Yes</x:v>
      </x:c>
      <x:c r="K98" s="16" t="str">
        <x:v>2-Secondary</x:v>
      </x:c>
      <x:c r="L98" s="16" t="str">
        <x:v>Storage solution; verify configuration and local standards.</x:v>
      </x:c>
      <x:c r="M98" s="16" t="str">
        <x:v>https://medical.olympusamerica.com/products/scopelocker</x:v>
      </x:c>
      <x:c r="N98" s="26" t="str">
        <x:v>2026-07-24</x:v>
      </x:c>
    </x:row>
    <x:row r="99">
      <x:c r="A99" s="16" t="str">
        <x:v>Reprocessing</x:v>
      </x:c>
      <x:c r="B99" s="16" t="str">
        <x:v>Endoscopy suite</x:v>
      </x:c>
      <x:c r="C99" s="16" t="str">
        <x:v>STERIS</x:v>
      </x:c>
      <x:c r="D99" s="16" t="str">
        <x:v>Endoscopy Suite Portfolio</x:v>
      </x:c>
      <x:c r="E99" s="16" t="str">
        <x:v>Portfolio webpage</x:v>
      </x:c>
      <x:c r="F99" s="16" t="str">
        <x:v>Both</x:v>
      </x:c>
      <x:c r="G99" s="16" t="str">
        <x:v>Reprocessing, drying/storage, endoscopy equipment and consumables</x:v>
      </x:c>
      <x:c r="H99" s="16" t="str">
        <x:v>U.S.</x:v>
      </x:c>
      <x:c r="I99" s="16" t="str">
        <x:v>Live</x:v>
      </x:c>
      <x:c r="J99" s="16" t="str">
        <x:v>Yes</x:v>
      </x:c>
      <x:c r="K99" s="16" t="str">
        <x:v>1-Core</x:v>
      </x:c>
      <x:c r="L99" s="16" t="str">
        <x:v>Master STERIS endoscopy portfolio gateway.</x:v>
      </x:c>
      <x:c r="M99" s="16" t="str">
        <x:v>https://www.steris.com/healthcare/solutions/endoscopy-suite</x:v>
      </x:c>
      <x:c r="N99" s="26" t="str">
        <x:v>2026-07-24</x:v>
      </x:c>
    </x:row>
    <x:row r="100">
      <x:c r="A100" s="16" t="str">
        <x:v>Reprocessing</x:v>
      </x:c>
      <x:c r="B100" s="16" t="str">
        <x:v>Endoscope devices</x:v>
      </x:c>
      <x:c r="C100" s="16" t="str">
        <x:v>STERIS</x:v>
      </x:c>
      <x:c r="D100" s="16" t="str">
        <x:v>Endoscopy Devices Portfolio</x:v>
      </x:c>
      <x:c r="E100" s="16" t="str">
        <x:v>Portfolio webpage</x:v>
      </x:c>
      <x:c r="F100" s="16" t="str">
        <x:v>Disposable/reusable devices</x:v>
      </x:c>
      <x:c r="G100" s="16" t="str">
        <x:v>Procedure accessories and endoscopy consumables</x:v>
      </x:c>
      <x:c r="H100" s="16" t="str">
        <x:v>U.S.</x:v>
      </x:c>
      <x:c r="I100" s="16" t="str">
        <x:v>Live</x:v>
      </x:c>
      <x:c r="J100" s="16" t="str">
        <x:v>Yes</x:v>
      </x:c>
      <x:c r="K100" s="16" t="str">
        <x:v>2-Secondary</x:v>
      </x:c>
      <x:c r="L100" s="16" t="str">
        <x:v>Broad portfolio; filter for pulmonary-compatible devices.</x:v>
      </x:c>
      <x:c r="M100" s="16" t="str">
        <x:v>https://www.steris.com/healthcare/products/endoscopy-devices</x:v>
      </x:c>
      <x:c r="N100" s="26" t="str">
        <x:v>2026-07-24</x:v>
      </x:c>
    </x:row>
    <x:row r="101">
      <x:c r="A101" s="16" t="str">
        <x:v>Reprocessing</x:v>
      </x:c>
      <x:c r="B101" s="16" t="str">
        <x:v>Drying/storage</x:v>
      </x:c>
      <x:c r="C101" s="16" t="str">
        <x:v>STERIS</x:v>
      </x:c>
      <x:c r="D101" s="16" t="str">
        <x:v>ENDODRY Drying and Storage System</x:v>
      </x:c>
      <x:c r="E101" s="16" t="str">
        <x:v>Product webpage</x:v>
      </x:c>
      <x:c r="F101" s="16" t="str">
        <x:v>Capital</x:v>
      </x:c>
      <x:c r="G101" s="16" t="str">
        <x:v>Endoscope drying and storage</x:v>
      </x:c>
      <x:c r="H101" s="16" t="str">
        <x:v>U.S.</x:v>
      </x:c>
      <x:c r="I101" s="16" t="str">
        <x:v>Live</x:v>
      </x:c>
      <x:c r="J101" s="16" t="str">
        <x:v>Yes</x:v>
      </x:c>
      <x:c r="K101" s="16" t="str">
        <x:v>1-Core</x:v>
      </x:c>
      <x:c r="L101" s="16" t="str">
        <x:v>Confirm bronchoscope channel-connectivity configuration.</x:v>
      </x:c>
      <x:c r="M101" s="16" t="str">
        <x:v>https://www.steris.com/healthcare/products/endoscope-drying-and-storage/endodry-drying-and-storage-system</x:v>
      </x:c>
      <x:c r="N101" s="26" t="str">
        <x:v>2026-07-24</x:v>
      </x:c>
    </x:row>
    <x:row r="102">
      <x:c r="A102" s="16" t="str">
        <x:v>Reprocessing</x:v>
      </x:c>
      <x:c r="B102" s="16" t="str">
        <x:v>High-level disinfection</x:v>
      </x:c>
      <x:c r="C102" s="16" t="str">
        <x:v>ASP</x:v>
      </x:c>
      <x:c r="D102" s="16" t="str">
        <x:v>High-Level Disinfection Portfolio</x:v>
      </x:c>
      <x:c r="E102" s="16" t="str">
        <x:v>Portfolio webpage</x:v>
      </x:c>
      <x:c r="F102" s="16" t="str">
        <x:v>Both</x:v>
      </x:c>
      <x:c r="G102" s="16" t="str">
        <x:v>EVOTECH, AEROFLEX, detergents and biocides</x:v>
      </x:c>
      <x:c r="H102" s="16" t="str">
        <x:v>U.S.</x:v>
      </x:c>
      <x:c r="I102" s="16" t="str">
        <x:v>Live</x:v>
      </x:c>
      <x:c r="J102" s="16" t="str">
        <x:v>Yes</x:v>
      </x:c>
      <x:c r="K102" s="16" t="str">
        <x:v>1-Core</x:v>
      </x:c>
      <x:c r="L102" s="16" t="str">
        <x:v>Master ASP endoscope-reprocessing portfolio.</x:v>
      </x:c>
      <x:c r="M102" s="16" t="str">
        <x:v>https://www.asp.com/en-us/products/high-level-disinfection</x:v>
      </x:c>
      <x:c r="N102" s="26" t="str">
        <x:v>2026-07-24</x:v>
      </x:c>
    </x:row>
    <x:row r="103">
      <x:c r="A103" s="16" t="str">
        <x:v>Reprocessing</x:v>
      </x:c>
      <x:c r="B103" s="16" t="str">
        <x:v>Automated endoscope reprocessor</x:v>
      </x:c>
      <x:c r="C103" s="16" t="str">
        <x:v>ASP</x:v>
      </x:c>
      <x:c r="D103" s="16" t="str">
        <x:v>AEROFLEX Automated Endoscope Reprocessor Data Sheet</x:v>
      </x:c>
      <x:c r="E103" s="16" t="str">
        <x:v>Data sheet PDF</x:v>
      </x:c>
      <x:c r="F103" s="16" t="str">
        <x:v>Capital plus consumables</x:v>
      </x:c>
      <x:c r="G103" s="16" t="str">
        <x:v>High-level disinfection of compatible flexible endoscopes</x:v>
      </x:c>
      <x:c r="H103" s="16" t="str">
        <x:v>U.S.</x:v>
      </x:c>
      <x:c r="I103" s="16" t="str">
        <x:v>Current</x:v>
      </x:c>
      <x:c r="J103" s="16" t="str">
        <x:v>Yes</x:v>
      </x:c>
      <x:c r="K103" s="16" t="str">
        <x:v>1-Core</x:v>
      </x:c>
      <x:c r="L103" s="16" t="str">
        <x:v>Confirm bronchoscope compatibility matrix.</x:v>
      </x:c>
      <x:c r="M103" s="16" t="str">
        <x:v>https://www.asp.com/sites/default/files/2024-04/AEROFLEX_Data_Sheet.pdf</x:v>
      </x:c>
      <x:c r="N103" s="26" t="str">
        <x:v>2026-07-24</x:v>
      </x:c>
    </x:row>
    <x:row r="104">
      <x:c r="A104" s="16" t="str">
        <x:v>Imaging support</x:v>
      </x:c>
      <x:c r="B104" s="16" t="str">
        <x:v>Point-of-care ultrasound</x:v>
      </x:c>
      <x:c r="C104" s="16" t="str">
        <x:v>FUJIFILM Sonosite</x:v>
      </x:c>
      <x:c r="D104" s="16" t="str">
        <x:v>Sonosite PX User Guide</x:v>
      </x:c>
      <x:c r="E104" s="16" t="str">
        <x:v>User guide PDF</x:v>
      </x:c>
      <x:c r="F104" s="16" t="str">
        <x:v>Capital</x:v>
      </x:c>
      <x:c r="G104" s="16" t="str">
        <x:v>Pleural ultrasound, thoracentesis and bedside procedures</x:v>
      </x:c>
      <x:c r="H104" s="16" t="str">
        <x:v>U.S.</x:v>
      </x:c>
      <x:c r="I104" s="16" t="str">
        <x:v>Current guide family</x:v>
      </x:c>
      <x:c r="J104" s="16" t="str">
        <x:v>Yes</x:v>
      </x:c>
      <x:c r="K104" s="16" t="str">
        <x:v>2-Secondary</x:v>
      </x:c>
      <x:c r="L104" s="16" t="str">
        <x:v>Obtain current system/transducer sales brochure for procurement.</x:v>
      </x:c>
      <x:c r="M104" s="16" t="str">
        <x:v>https://www.sonosite.com/sites/default/files/SONOSITE_PX_UG_ENG_P21894-02B_e.pdf</x:v>
      </x:c>
      <x:c r="N104" s="26" t="str">
        <x:v>2026-07-24</x:v>
      </x:c>
    </x:row>
    <x:row r="105">
      <x:c r="A105" s="16" t="str">
        <x:v>Imaging support</x:v>
      </x:c>
      <x:c r="B105" s="16" t="str">
        <x:v>Point-of-care ultrasound</x:v>
      </x:c>
      <x:c r="C105" s="16" t="str">
        <x:v>FUJIFILM Sonosite</x:v>
      </x:c>
      <x:c r="D105" s="16" t="str">
        <x:v>Sonosite LX User Guide</x:v>
      </x:c>
      <x:c r="E105" s="16" t="str">
        <x:v>User guide PDF</x:v>
      </x:c>
      <x:c r="F105" s="16" t="str">
        <x:v>Capital</x:v>
      </x:c>
      <x:c r="G105" s="16" t="str">
        <x:v>Pleural and thoracic ultrasound</x:v>
      </x:c>
      <x:c r="H105" s="16" t="str">
        <x:v>U.S.</x:v>
      </x:c>
      <x:c r="I105" s="16" t="str">
        <x:v>September 2025</x:v>
      </x:c>
      <x:c r="J105" s="16" t="str">
        <x:v>Yes</x:v>
      </x:c>
      <x:c r="K105" s="16" t="str">
        <x:v>2-Secondary</x:v>
      </x:c>
      <x:c r="L105" s="16" t="str">
        <x:v>Useful specification/compatibility source; not an ordering catalog.</x:v>
      </x:c>
      <x:c r="M105" s="16" t="str">
        <x:v>https://www.sonosite.com/support/userdocs/Sonosite_LX_UG_ENG_P28669-08C_e.pdf</x:v>
      </x:c>
      <x:c r="N105" s="26" t="str">
        <x:v>2026-07-24</x:v>
      </x:c>
    </x:row>
    <x:row r="106">
      <x:c r="A106" s="16" t="str">
        <x:v>Imaging support</x:v>
      </x:c>
      <x:c r="B106" s="16" t="str">
        <x:v>Handheld ultrasound</x:v>
      </x:c>
      <x:c r="C106" s="16" t="str">
        <x:v>Butterfly Network</x:v>
      </x:c>
      <x:c r="D106" s="16" t="str">
        <x:v>Butterfly iQ3 Specifications</x:v>
      </x:c>
      <x:c r="E106" s="16" t="str">
        <x:v>Product specifications webpage</x:v>
      </x:c>
      <x:c r="F106" s="16" t="str">
        <x:v>Capital/subscription</x:v>
      </x:c>
      <x:c r="G106" s="16" t="str">
        <x:v>Pleural and lung ultrasound</x:v>
      </x:c>
      <x:c r="H106" s="16" t="str">
        <x:v>U.S.</x:v>
      </x:c>
      <x:c r="I106" s="16" t="str">
        <x:v>Live</x:v>
      </x:c>
      <x:c r="J106" s="16" t="str">
        <x:v>Yes</x:v>
      </x:c>
      <x:c r="K106" s="16" t="str">
        <x:v>2-Secondary</x:v>
      </x:c>
      <x:c r="L106" s="16" t="str">
        <x:v>Includes lung preset and technical specifications.</x:v>
      </x:c>
      <x:c r="M106" s="16" t="str">
        <x:v>https://www.butterflynetwork.com/iq3-specs</x:v>
      </x:c>
      <x:c r="N106" s="26" t="str">
        <x:v>2026-07-24</x:v>
      </x:c>
    </x:row>
    <x:row r="107">
      <x:c r="A107" s="16" t="str">
        <x:v>Imaging support</x:v>
      </x:c>
      <x:c r="B107" s="16" t="str">
        <x:v>Handheld ultrasound</x:v>
      </x:c>
      <x:c r="C107" s="16" t="str">
        <x:v>Butterfly Network</x:v>
      </x:c>
      <x:c r="D107" s="16" t="str">
        <x:v>Butterfly iQ3 User Manual</x:v>
      </x:c>
      <x:c r="E107" s="16" t="str">
        <x:v>User manual PDF</x:v>
      </x:c>
      <x:c r="F107" s="16" t="str">
        <x:v>Capital/subscription</x:v>
      </x:c>
      <x:c r="G107" s="16" t="str">
        <x:v>Pleural and lung ultrasound</x:v>
      </x:c>
      <x:c r="H107" s="16" t="str">
        <x:v>U.S.</x:v>
      </x:c>
      <x:c r="I107" s="16" t="str">
        <x:v>Current manual</x:v>
      </x:c>
      <x:c r="J107" s="16" t="str">
        <x:v>Yes</x:v>
      </x:c>
      <x:c r="K107" s="16" t="str">
        <x:v>2-Secondary</x:v>
      </x:c>
      <x:c r="L107" s="16" t="str">
        <x:v>Technical and safety documentation; obtain current enterprise ordering guide separately.</x:v>
      </x:c>
      <x:c r="M107" s="16" t="str">
        <x:v>https://manual.butterflynetwork.com/butterfly-iq3-manual_rev-b-en.pdf</x:v>
      </x:c>
      <x:c r="N107" s="26" t="str">
        <x:v>2026-07-24</x:v>
      </x:c>
    </x:row>
    <x:row r="108">
      <x:c r="A108" s="16" t="str">
        <x:v>Imaging support</x:v>
      </x:c>
      <x:c r="B108" s="16" t="str">
        <x:v>Mobile C-arm</x:v>
      </x:c>
      <x:c r="C108" s="16" t="str">
        <x:v>GE HealthCare</x:v>
      </x:c>
      <x:c r="D108" s="16" t="str">
        <x:v>OEC Surgical Imaging Portfolio</x:v>
      </x:c>
      <x:c r="E108" s="16" t="str">
        <x:v>Portfolio brochure PDF</x:v>
      </x:c>
      <x:c r="F108" s="16" t="str">
        <x:v>Capital</x:v>
      </x:c>
      <x:c r="G108" s="16" t="str">
        <x:v>Fluoroscopy and 3D imaging support for navigation bronchoscopy</x:v>
      </x:c>
      <x:c r="H108" s="16" t="str">
        <x:v>U.S.</x:v>
      </x:c>
      <x:c r="I108" s="16" t="str">
        <x:v>Current portfolio</x:v>
      </x:c>
      <x:c r="J108" s="16" t="str">
        <x:v>Yes</x:v>
      </x:c>
      <x:c r="K108" s="16" t="str">
        <x:v>2-Secondary</x:v>
      </x:c>
      <x:c r="L108" s="16" t="str">
        <x:v>Use for C-arm family comparison.</x:v>
      </x:c>
      <x:c r="M108" s="16" t="str">
        <x:v>https://www.gehealthcare.com/-/jssmedia/gehc/us/files/products/surgical-imaging/oec-surgical-imaging-portfolio-brochure.pdf</x:v>
      </x:c>
      <x:c r="N108" s="26" t="str">
        <x:v>2026-07-24</x:v>
      </x:c>
    </x:row>
    <x:row r="109">
      <x:c r="A109" s="16" t="str">
        <x:v>Imaging support</x:v>
      </x:c>
      <x:c r="B109" s="16" t="str">
        <x:v>3D mobile C-arm</x:v>
      </x:c>
      <x:c r="C109" s="16" t="str">
        <x:v>Ziehm Imaging</x:v>
      </x:c>
      <x:c r="D109" s="16" t="str">
        <x:v>Mobile C-arm Product Portfolio 2025</x:v>
      </x:c>
      <x:c r="E109" s="16" t="str">
        <x:v>Portfolio brochure PDF</x:v>
      </x:c>
      <x:c r="F109" s="16" t="str">
        <x:v>Capital</x:v>
      </x:c>
      <x:c r="G109" s="16" t="str">
        <x:v>2D/3D mobile imaging</x:v>
      </x:c>
      <x:c r="H109" s="16" t="str">
        <x:v>Global/U.S.</x:v>
      </x:c>
      <x:c r="I109" s="16" t="str">
        <x:v>2025</x:v>
      </x:c>
      <x:c r="J109" s="16" t="str">
        <x:v>Yes</x:v>
      </x:c>
      <x:c r="K109" s="16" t="str">
        <x:v>2-Secondary</x:v>
      </x:c>
      <x:c r="L109" s="16" t="str">
        <x:v>Broad platform comparison; confirm U.S. package.</x:v>
      </x:c>
      <x:c r="M109" s="16" t="str">
        <x:v>https://www.ziehm.com/fileadmin/content/Downloads/Brochures/Ziehm_Product_Portfolio_EN.pdf</x:v>
      </x:c>
      <x:c r="N109" s="26" t="str">
        <x:v>2026-07-24</x:v>
      </x:c>
    </x:row>
  </x:sheetData>
  <x:conditionalFormatting sqref="K2:K109">
    <x:cfRule type="expression" dxfId="0" priority="1">
      <x:formula>LEFT(K2,1)="1"</x:formula>
    </x:cfRule>
    <x:cfRule type="expression" dxfId="1" priority="2">
      <x:formula>LEFT(K2,1)="3"</x:formula>
    </x:cfRule>
    <x:cfRule type="expression" dxfId="2" priority="3">
      <x:formula>LEFT(K2,1)="4"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8eea248dfc457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34" hidden="0" customWidth="1"/>
    <x:col min="5" max="5" width="18" hidden="0" customWidth="1"/>
  </x:cols>
  <x:sheetData>
    <x:row r="1">
      <x:c r="A1" s="39" t="str">
        <x:v>INTERVENTIONAL PULMONOLOGY CATALOG COVERAGE</x:v>
      </x:c>
      <x:c r="B1" s="39"/>
      <x:c r="C1" s="39"/>
      <x:c r="D1" s="39"/>
      <x:c r="E1" s="39"/>
      <x:c r="F1" s="39"/>
    </x:row>
    <x:row r="3">
      <x:c r="A3" s="11" t="str">
        <x:v>Metric</x:v>
      </x:c>
      <x:c r="B3" s="11" t="str">
        <x:v>Value</x:v>
      </x:c>
      <x:c r="D3" s="43" t="str">
        <x:v>Manufacturer / Organization</x:v>
      </x:c>
      <x:c r="E3" s="43" t="str">
        <x:v>Resource Count</x:v>
      </x:c>
    </x:row>
    <x:row r="4">
      <x:c r="A4" t="str">
        <x:v>Total resources</x:v>
      </x:c>
      <x:c r="B4" t="n">
        <x:f>COUNTA('Catalog Index'!D2:D109)</x:f>
        <x:v>108</x:v>
      </x:c>
      <x:c r="D4" t="str">
        <x:v>ASP</x:v>
      </x:c>
      <x:c r="E4" t="n">
        <x:f>COUNTIF('Catalog Index'!C:C,D4)</x:f>
        <x:v>2</x:v>
      </x:c>
    </x:row>
    <x:row r="5">
      <x:c r="A5" t="str">
        <x:v>Core-priority resources</x:v>
      </x:c>
      <x:c r="B5" t="n">
        <x:f>COUNTIF('Catalog Index'!K2:K109,"1-Core")</x:f>
        <x:v>68</x:v>
      </x:c>
      <x:c r="D5" t="str">
        <x:v>Ambu</x:v>
      </x:c>
      <x:c r="E5" t="n">
        <x:f>COUNTIF('Catalog Index'!C:C,D5)</x:f>
        <x:v>2</x:v>
      </x:c>
    </x:row>
    <x:row r="6">
      <x:c r="A6" t="str">
        <x:v>Manufacturers / organizations</x:v>
      </x:c>
      <x:c r="B6" t="n">
        <x:v>43</x:v>
      </x:c>
      <x:c r="D6" t="str">
        <x:v>BD</x:v>
      </x:c>
      <x:c r="E6" t="n">
        <x:f>COUNTIF('Catalog Index'!C:C,D6)</x:f>
        <x:v>2</x:v>
      </x:c>
    </x:row>
    <x:row r="7">
      <x:c r="A7" t="str">
        <x:v>Clinical categories</x:v>
      </x:c>
      <x:c r="B7" t="n">
        <x:v>11</x:v>
      </x:c>
      <x:c r="D7" t="str">
        <x:v>Body Vision Medical</x:v>
      </x:c>
      <x:c r="E7" t="n">
        <x:f>COUNTIF('Catalog Index'!C:C,D7)</x:f>
        <x:v>1</x:v>
      </x:c>
    </x:row>
    <x:row r="8">
      <x:c r="A8" t="str">
        <x:v>Official manufacturer/government sources</x:v>
      </x:c>
      <x:c r="B8" t="n">
        <x:f>COUNTIF('Catalog Index'!J2:J109,"Yes")+COUNTIF('Catalog Index'!J2:J109,"Government")</x:f>
        <x:v>106</x:v>
      </x:c>
      <x:c r="D8" t="str">
        <x:v>Boston Scientific</x:v>
      </x:c>
      <x:c r="E8" t="n">
        <x:f>COUNTIF('Catalog Index'!C:C,D8)</x:f>
        <x:v>5</x:v>
      </x:c>
    </x:row>
    <x:row r="9">
      <x:c r="D9" t="str">
        <x:v>Boston Scientific / Scivita</x:v>
      </x:c>
      <x:c r="E9" t="n">
        <x:f>COUNTIF('Catalog Index'!C:C,D9)</x:f>
        <x:v>1</x:v>
      </x:c>
    </x:row>
    <x:row r="10">
      <x:c r="A10" s="43" t="str">
        <x:v>Category</x:v>
      </x:c>
      <x:c r="B10" s="43" t="str">
        <x:v>Resource Count</x:v>
      </x:c>
      <x:c r="D10" t="str">
        <x:v>Broncus Medical</x:v>
      </x:c>
      <x:c r="E10" t="n">
        <x:f>COUNTIF('Catalog Index'!C:C,D10)</x:f>
        <x:v>2</x:v>
      </x:c>
    </x:row>
    <x:row r="11">
      <x:c r="A11" t="str">
        <x:v>Airway therapy</x:v>
      </x:c>
      <x:c r="B11" t="n">
        <x:f>COUNTIF('Catalog Index'!A:A,A11)</x:f>
        <x:v>11</x:v>
      </x:c>
      <x:c r="D11" t="str">
        <x:v>Butterfly Network</x:v>
      </x:c>
      <x:c r="E11" t="n">
        <x:f>COUNTIF('Catalog Index'!C:C,D11)</x:f>
        <x:v>2</x:v>
      </x:c>
    </x:row>
    <x:row r="12">
      <x:c r="A12" t="str">
        <x:v>Chest drainage</x:v>
      </x:c>
      <x:c r="B12" t="n">
        <x:f>COUNTIF('Catalog Index'!A:A,A12)</x:f>
        <x:v>3</x:v>
      </x:c>
      <x:c r="D12" t="str">
        <x:v>CONMED</x:v>
      </x:c>
      <x:c r="E12" t="n">
        <x:f>COUNTIF('Catalog Index'!C:C,D12)</x:f>
        <x:v>1</x:v>
      </x:c>
    </x:row>
    <x:row r="13">
      <x:c r="A13" t="str">
        <x:v>Core catalogs</x:v>
      </x:c>
      <x:c r="B13" t="n">
        <x:f>COUNTIF('Catalog Index'!A:A,A13)</x:f>
        <x:v>19</x:v>
      </x:c>
      <x:c r="D13" t="str">
        <x:v>Carl Reiner</x:v>
      </x:c>
      <x:c r="E13" t="n">
        <x:f>COUNTIF('Catalog Index'!C:C,D13)</x:f>
        <x:v>1</x:v>
      </x:c>
    </x:row>
    <x:row r="14">
      <x:c r="A14" t="str">
        <x:v>Energy &amp; ablation</x:v>
      </x:c>
      <x:c r="B14" t="n">
        <x:f>COUNTIF('Catalog Index'!A:A,A14)</x:f>
        <x:v>11</x:v>
      </x:c>
      <x:c r="D14" t="str">
        <x:v>Cook Medical</x:v>
      </x:c>
      <x:c r="E14" t="n">
        <x:f>COUNTIF('Catalog Index'!C:C,D14)</x:f>
        <x:v>6</x:v>
      </x:c>
    </x:row>
    <x:row r="15">
      <x:c r="A15" t="str">
        <x:v>Flexible bronchoscopy &amp; EBUS</x:v>
      </x:c>
      <x:c r="B15" t="n">
        <x:f>COUNTIF('Catalog Index'!A:A,A15)</x:f>
        <x:v>14</x:v>
      </x:c>
      <x:c r="D15" t="str">
        <x:v>EFER Endoscopy</x:v>
      </x:c>
      <x:c r="E15" t="n">
        <x:f>COUNTIF('Catalog Index'!C:C,D15)</x:f>
        <x:v>2</x:v>
      </x:c>
    </x:row>
    <x:row r="16">
      <x:c r="A16" t="str">
        <x:v>Imaging support</x:v>
      </x:c>
      <x:c r="B16" t="n">
        <x:f>COUNTIF('Catalog Index'!A:A,A16)</x:f>
        <x:v>6</x:v>
      </x:c>
      <x:c r="D16" t="str">
        <x:v>ERBE</x:v>
      </x:c>
      <x:c r="E16" t="n">
        <x:f>COUNTIF('Catalog Index'!C:C,D16)</x:f>
        <x:v>4</x:v>
      </x:c>
    </x:row>
    <x:row r="17">
      <x:c r="A17" t="str">
        <x:v>Navigation &amp; robotics</x:v>
      </x:c>
      <x:c r="B17" t="n">
        <x:f>COUNTIF('Catalog Index'!A:A,A17)</x:f>
        <x:v>13</x:v>
      </x:c>
      <x:c r="D17" t="str">
        <x:v>FUJIFILM Healthcare Americas</x:v>
      </x:c>
      <x:c r="E17" t="n">
        <x:f>COUNTIF('Catalog Index'!C:C,D17)</x:f>
        <x:v>3</x:v>
      </x:c>
    </x:row>
    <x:row r="18">
      <x:c r="A18" t="str">
        <x:v>Pleural procedures</x:v>
      </x:c>
      <x:c r="B18" t="n">
        <x:f>COUNTIF('Catalog Index'!A:A,A18)</x:f>
        <x:v>10</x:v>
      </x:c>
      <x:c r="D18" t="str">
        <x:v>FUJIFILM Sonosite</x:v>
      </x:c>
      <x:c r="E18" t="n">
        <x:f>COUNTIF('Catalog Index'!C:C,D18)</x:f>
        <x:v>2</x:v>
      </x:c>
    </x:row>
    <x:row r="19">
      <x:c r="A19" t="str">
        <x:v>Reprocessing</x:v>
      </x:c>
      <x:c r="B19" t="n">
        <x:f>COUNTIF('Catalog Index'!A:A,A19)</x:f>
        <x:v>11</x:v>
      </x:c>
      <x:c r="D19" t="str">
        <x:v>GE HealthCare</x:v>
      </x:c>
      <x:c r="E19" t="n">
        <x:f>COUNTIF('Catalog Index'!C:C,D19)</x:f>
        <x:v>2</x:v>
      </x:c>
    </x:row>
    <x:row r="20">
      <x:c r="A20" t="str">
        <x:v>Rigid bronchoscopy &amp; thoracoscopy</x:v>
      </x:c>
      <x:c r="B20" t="n">
        <x:f>COUNTIF('Catalog Index'!A:A,A20)</x:f>
        <x:v>6</x:v>
      </x:c>
      <x:c r="D20" t="str">
        <x:v>Galvanize Therapeutics</x:v>
      </x:c>
      <x:c r="E20" t="n">
        <x:f>COUNTIF('Catalog Index'!C:C,D20)</x:f>
        <x:v>2</x:v>
      </x:c>
    </x:row>
    <x:row r="21">
      <x:c r="A21" t="str">
        <x:v>Tracheostomy</x:v>
      </x:c>
      <x:c r="B21" t="n">
        <x:f>COUNTIF('Catalog Index'!A:A,A21)</x:f>
        <x:v>4</x:v>
      </x:c>
      <x:c r="D21" t="str">
        <x:v>Getinge / Atrium</x:v>
      </x:c>
      <x:c r="E21" t="n">
        <x:f>COUNTIF('Catalog Index'!C:C,D21)</x:f>
        <x:v>3</x:v>
      </x:c>
    </x:row>
    <x:row r="22">
      <x:c r="D22" t="str">
        <x:v>ICU Medical</x:v>
      </x:c>
      <x:c r="E22" t="n">
        <x:f>COUNTIF('Catalog Index'!C:C,D22)</x:f>
        <x:v>3</x:v>
      </x:c>
    </x:row>
    <x:row r="23">
      <x:c r="D23" t="str">
        <x:v>Intuitive</x:v>
      </x:c>
      <x:c r="E23" t="n">
        <x:f>COUNTIF('Catalog Index'!C:C,D23)</x:f>
        <x:v>2</x:v>
      </x:c>
    </x:row>
    <x:row r="24">
      <x:c r="D24" t="str">
        <x:v>Johnson &amp; Johnson MedTech</x:v>
      </x:c>
      <x:c r="E24" t="n">
        <x:f>COUNTIF('Catalog Index'!C:C,D24)</x:f>
        <x:v>1</x:v>
      </x:c>
    </x:row>
    <x:row r="25">
      <x:c r="D25" t="str">
        <x:v>KARL STORZ</x:v>
      </x:c>
      <x:c r="E25" t="n">
        <x:f>COUNTIF('Catalog Index'!C:C,D25)</x:f>
        <x:v>1</x:v>
      </x:c>
    </x:row>
    <x:row r="26">
      <x:c r="D26" t="str">
        <x:v>MICRO-TECH Endoscopy</x:v>
      </x:c>
      <x:c r="E26" t="n">
        <x:f>COUNTIF('Catalog Index'!C:C,D26)</x:f>
        <x:v>1</x:v>
      </x:c>
    </x:row>
    <x:row r="27">
      <x:c r="D27" t="str">
        <x:v>Medela</x:v>
      </x:c>
      <x:c r="E27" t="n">
        <x:f>COUNTIF('Catalog Index'!C:C,D27)</x:f>
        <x:v>1</x:v>
      </x:c>
    </x:row>
    <x:row r="28">
      <x:c r="D28" t="str">
        <x:v>Medtronic</x:v>
      </x:c>
      <x:c r="E28" t="n">
        <x:f>COUNTIF('Catalog Index'!C:C,D28)</x:f>
        <x:v>8</x:v>
      </x:c>
    </x:row>
    <x:row r="29">
      <x:c r="D29" t="str">
        <x:v>Merit Medical</x:v>
      </x:c>
      <x:c r="E29" t="n">
        <x:f>COUNTIF('Catalog Index'!C:C,D29)</x:f>
        <x:v>4</x:v>
      </x:c>
    </x:row>
    <x:row r="30">
      <x:c r="D30" t="str">
        <x:v>NOVATECH</x:v>
      </x:c>
      <x:c r="E30" t="n">
        <x:f>COUNTIF('Catalog Index'!C:C,D30)</x:f>
        <x:v>6</x:v>
      </x:c>
    </x:row>
    <x:row r="31">
      <x:c r="D31" t="str">
        <x:v>NeuWave Medical / Quantum Surgical</x:v>
      </x:c>
      <x:c r="E31" t="n">
        <x:f>COUNTIF('Catalog Index'!C:C,D31)</x:f>
        <x:v>2</x:v>
      </x:c>
    </x:row>
    <x:row r="32">
      <x:c r="D32" t="str">
        <x:v>Noah Medical</x:v>
      </x:c>
      <x:c r="E32" t="n">
        <x:f>COUNTIF('Catalog Index'!C:C,D32)</x:f>
        <x:v>1</x:v>
      </x:c>
    </x:row>
    <x:row r="33">
      <x:c r="D33" t="str">
        <x:v>Olympus</x:v>
      </x:c>
      <x:c r="E33" t="n">
        <x:f>COUNTIF('Catalog Index'!C:C,D33)</x:f>
        <x:v>11</x:v>
      </x:c>
    </x:row>
    <x:row r="34">
      <x:c r="D34" t="str">
        <x:v>PENTAX Medical</x:v>
      </x:c>
      <x:c r="E34" t="n">
        <x:f>COUNTIF('Catalog Index'!C:C,D34)</x:f>
        <x:v>2</x:v>
      </x:c>
    </x:row>
    <x:row r="35">
      <x:c r="D35" t="str">
        <x:v>Philips</x:v>
      </x:c>
      <x:c r="E35" t="n">
        <x:f>COUNTIF('Catalog Index'!C:C,D35)</x:f>
        <x:v>1</x:v>
      </x:c>
    </x:row>
    <x:row r="36">
      <x:c r="D36" t="str">
        <x:v>Pulmonx</x:v>
      </x:c>
      <x:c r="E36" t="n">
        <x:f>COUNTIF('Catalog Index'!C:C,D36)</x:f>
        <x:v>2</x:v>
      </x:c>
    </x:row>
    <x:row r="37">
      <x:c r="D37" t="str">
        <x:v>Richard Wolf</x:v>
      </x:c>
      <x:c r="E37" t="n">
        <x:f>COUNTIF('Catalog Index'!C:C,D37)</x:f>
        <x:v>3</x:v>
      </x:c>
    </x:row>
    <x:row r="38">
      <x:c r="D38" t="str">
        <x:v>Rocket Medical</x:v>
      </x:c>
      <x:c r="E38" t="n">
        <x:f>COUNTIF('Catalog Index'!C:C,D38)</x:f>
        <x:v>2</x:v>
      </x:c>
    </x:row>
    <x:row r="39">
      <x:c r="D39" t="str">
        <x:v>STERIS</x:v>
      </x:c>
      <x:c r="E39" t="n">
        <x:f>COUNTIF('Catalog Index'!C:C,D39)</x:f>
        <x:v>5</x:v>
      </x:c>
    </x:row>
    <x:row r="40">
      <x:c r="D40" t="str">
        <x:v>Siemens Healthineers</x:v>
      </x:c>
      <x:c r="E40" t="n">
        <x:f>COUNTIF('Catalog Index'!C:C,D40)</x:f>
        <x:v>1</x:v>
      </x:c>
    </x:row>
    <x:row r="41">
      <x:c r="D41" t="str">
        <x:v>TRACOE / Atos Medical</x:v>
      </x:c>
      <x:c r="E41" t="n">
        <x:f>COUNTIF('Catalog Index'!C:C,D41)</x:f>
        <x:v>1</x:v>
      </x:c>
    </x:row>
    <x:row r="42">
      <x:c r="D42" t="str">
        <x:v>Teleflex</x:v>
      </x:c>
      <x:c r="E42" t="n">
        <x:f>COUNTIF('Catalog Index'!C:C,D42)</x:f>
        <x:v>2</x:v>
      </x:c>
    </x:row>
    <x:row r="43">
      <x:c r="D43" t="str">
        <x:v>U.S. FDA</x:v>
      </x:c>
      <x:c r="E43" t="n">
        <x:f>COUNTIF('Catalog Index'!C:C,D43)</x:f>
        <x:v>1</x:v>
      </x:c>
    </x:row>
    <x:row r="44">
      <x:c r="D44" t="str">
        <x:v>Vathin</x:v>
      </x:c>
      <x:c r="E44" t="n">
        <x:f>COUNTIF('Catalog Index'!C:C,D44)</x:f>
        <x:v>1</x:v>
      </x:c>
    </x:row>
    <x:row r="45">
      <x:c r="D45" t="str">
        <x:v>Verathon</x:v>
      </x:c>
      <x:c r="E45" t="n">
        <x:f>COUNTIF('Catalog Index'!C:C,D45)</x:f>
        <x:v>1</x:v>
      </x:c>
    </x:row>
    <x:row r="46">
      <x:c r="D46" t="str">
        <x:v>Ziehm Imaging</x:v>
      </x:c>
      <x:c r="E46" t="n">
        <x:f>COUNTIF('Catalog Index'!C:C,D46)</x:f>
        <x:v>2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2" hidden="0" customWidth="1"/>
    <x:col min="5" max="5" width="24" hidden="0" customWidth="1"/>
    <x:col min="6" max="6" width="26" hidden="0" customWidth="1"/>
    <x:col min="7" max="7" width="44" hidden="0" customWidth="1"/>
    <x:col min="8" max="8" width="26" hidden="0" customWidth="1"/>
    <x:col min="9" max="9" width="26" hidden="0" customWidth="1"/>
    <x:col min="10" max="10" width="16" hidden="0" customWidth="1"/>
    <x:col min="11" max="11" width="18" hidden="0" customWidth="1"/>
    <x:col min="12" max="12" width="52" hidden="0" customWidth="1"/>
    <x:col min="13" max="13" width="62" hidden="0" customWidth="1"/>
    <x:col min="14" max="14" width="14" hidden="0" customWidth="1"/>
  </x:cols>
  <x:sheetData>
    <x:row r="1">
      <x:c r="A1" s="32" t="str">
        <x:v>Category</x:v>
      </x:c>
      <x:c r="B1" s="32" t="str">
        <x:v>Subcategory</x:v>
      </x:c>
      <x:c r="C1" s="32" t="str">
        <x:v>Manufacturer</x:v>
      </x:c>
      <x:c r="D1" s="32" t="str">
        <x:v>Catalog / Resource</x:v>
      </x:c>
      <x:c r="E1" s="32" t="str">
        <x:v>Resource Type</x:v>
      </x:c>
      <x:c r="F1" s="32" t="str">
        <x:v>Asset Class</x:v>
      </x:c>
      <x:c r="G1" s="32" t="str">
        <x:v>Clinical Use</x:v>
      </x:c>
      <x:c r="H1" s="32" t="str">
        <x:v>U.S. Relevance</x:v>
      </x:c>
      <x:c r="I1" s="32" t="str">
        <x:v>Currentness / Date</x:v>
      </x:c>
      <x:c r="J1" s="32" t="str">
        <x:v>Official Source</x:v>
      </x:c>
      <x:c r="K1" s="32" t="str">
        <x:v>Priority</x:v>
      </x:c>
      <x:c r="L1" s="32" t="str">
        <x:v>Notes / Cautions</x:v>
      </x:c>
      <x:c r="M1" s="32" t="str">
        <x:v>Source URL</x:v>
      </x:c>
      <x:c r="N1" s="32" t="str">
        <x:v>Verified</x:v>
      </x:c>
    </x:row>
    <x:row r="2">
      <x:c r="A2" s="16" t="str">
        <x:v>Core catalogs</x:v>
      </x:c>
      <x:c r="B2" s="16" t="str">
        <x:v>Endoscopy devices</x:v>
      </x:c>
      <x:c r="C2" s="16" t="str">
        <x:v>Olympus</x:v>
      </x:c>
      <x:c r="D2" s="16" t="str">
        <x:v>Endoscopic Devices Product Catalog (2024 interactive)</x:v>
      </x:c>
      <x:c r="E2" s="16" t="str">
        <x:v>Catalog PDF</x:v>
      </x:c>
      <x:c r="F2" s="16" t="str">
        <x:v>Mostly disposable/reusable accessories</x:v>
      </x:c>
      <x:c r="G2" s="16" t="str">
        <x:v>Biopsy forceps, brushes, needles, graspers, baskets, balloons, valves and endotherapy accessories</x:v>
      </x:c>
      <x:c r="H2" s="16" t="str">
        <x:v>U.S.</x:v>
      </x:c>
      <x:c r="I2" s="16" t="str">
        <x:v>2024; current catalog family</x:v>
      </x:c>
      <x:c r="J2" s="16" t="str">
        <x:v>Yes</x:v>
      </x:c>
      <x:c r="K2" s="16" t="str">
        <x:v>1-Core</x:v>
      </x:c>
      <x:c r="L2" s="16" t="str">
        <x:v>Primary Olympus ordering/specification source; respiratory products are embedded in a broader endoscopy catalog.</x:v>
      </x:c>
      <x:c r="M2" s="16" t="str">
        <x:v>https://medical.olympusamerica.com/sites/default/files/us/files/pdf/OAIET0124CAT51005_EndoTherapy%20Catalog_Interactive_2024.pdf</x:v>
      </x:c>
      <x:c r="N2" s="16" t="str">
        <x:v>2026-07-24</x:v>
      </x:c>
    </x:row>
    <x:row r="3">
      <x:c r="A3" s="16" t="str">
        <x:v>Core catalogs</x:v>
      </x:c>
      <x:c r="B3" s="16" t="str">
        <x:v>Pulmonary endoscopy</x:v>
      </x:c>
      <x:c r="C3" s="16" t="str">
        <x:v>Boston Scientific</x:v>
      </x:c>
      <x:c r="D3" s="16" t="str">
        <x:v>Products for Pulmonary Endoscopy</x:v>
      </x:c>
      <x:c r="E3" s="16" t="str">
        <x:v>Portfolio brochure PDF</x:v>
      </x:c>
      <x:c r="F3" s="16" t="str">
        <x:v>Both</x:v>
      </x:c>
      <x:c r="G3" s="16" t="str">
        <x:v>Sampling, dilation, retrieval, airway stents and other pulmonary endoscopy devices</x:v>
      </x:c>
      <x:c r="H3" s="16" t="str">
        <x:v>U.S.</x:v>
      </x:c>
      <x:c r="I3" s="16" t="str">
        <x:v>Current portfolio brochure</x:v>
      </x:c>
      <x:c r="J3" s="16" t="str">
        <x:v>Yes</x:v>
      </x:c>
      <x:c r="K3" s="16" t="str">
        <x:v>1-Core</x:v>
      </x:c>
      <x:c r="L3" s="16" t="str">
        <x:v>High-yield pulmonary portfolio overview.</x:v>
      </x:c>
      <x:c r="M3" s="16" t="str">
        <x:v>https://www.bostonscientific.com/content/dam/bostonscientific/endo/portfolio-group/ENDO-62108-AF-Pulmonary_Product_Family_Brochure.pdf</x:v>
      </x:c>
      <x:c r="N3" s="16" t="str">
        <x:v>2026-07-24</x:v>
      </x:c>
    </x:row>
    <x:row r="4">
      <x:c r="A4" s="16" t="str">
        <x:v>Core catalogs</x:v>
      </x:c>
      <x:c r="B4" s="16" t="str">
        <x:v>Endoscopy reference</x:v>
      </x:c>
      <x:c r="C4" s="16" t="str">
        <x:v>Boston Scientific</x:v>
      </x:c>
      <x:c r="D4" s="16" t="str">
        <x:v>Endoscopy 2026 Product Reference Guide</x:v>
      </x:c>
      <x:c r="E4" s="16" t="str">
        <x:v>Reference guide PDF</x:v>
      </x:c>
      <x:c r="F4" s="16" t="str">
        <x:v>Both</x:v>
      </x:c>
      <x:c r="G4" s="16" t="str">
        <x:v>Current endoscopy portfolio including pulmonary products and single-use bronchoscopy</x:v>
      </x:c>
      <x:c r="H4" s="16" t="str">
        <x:v>U.S.</x:v>
      </x:c>
      <x:c r="I4" s="16" t="str">
        <x:v>2026</x:v>
      </x:c>
      <x:c r="J4" s="16" t="str">
        <x:v>Yes</x:v>
      </x:c>
      <x:c r="K4" s="16" t="str">
        <x:v>1-Core</x:v>
      </x:c>
      <x:c r="L4" s="16" t="str">
        <x:v>Best current Boston Scientific master reference guide found.</x:v>
      </x:c>
      <x:c r="M4" s="16" t="str">
        <x:v>https://www.bostonscientific.com/content/dam/bostonscientific/endo/general/reference-guide/Endoscopy-2026-Product-Reference-Guide-Interactive.pdf</x:v>
      </x:c>
      <x:c r="N4" s="16" t="str">
        <x:v>2026-07-24</x:v>
      </x:c>
    </x:row>
    <x:row r="5">
      <x:c r="A5" s="16" t="str">
        <x:v>Core catalogs</x:v>
      </x:c>
      <x:c r="B5" s="16" t="str">
        <x:v>All products</x:v>
      </x:c>
      <x:c r="C5" s="16" t="str">
        <x:v>Cook Medical</x:v>
      </x:c>
      <x:c r="D5" s="16" t="str">
        <x:v>Cook Medical Products Catalog</x:v>
      </x:c>
      <x:c r="E5" s="16" t="str">
        <x:v>Online catalog</x:v>
      </x:c>
      <x:c r="F5" s="16" t="str">
        <x:v>Both</x:v>
      </x:c>
      <x:c r="G5" s="16" t="str">
        <x:v>Airway, endobronchial needles, biopsy, forceps, drainage, pneumothorax and pleural products</x:v>
      </x:c>
      <x:c r="H5" s="16" t="str">
        <x:v>U.S./global</x:v>
      </x:c>
      <x:c r="I5" s="16" t="str">
        <x:v>Live online catalog</x:v>
      </x:c>
      <x:c r="J5" s="16" t="str">
        <x:v>Yes</x:v>
      </x:c>
      <x:c r="K5" s="16" t="str">
        <x:v>1-Core</x:v>
      </x:c>
      <x:c r="L5" s="16" t="str">
        <x:v>Filterable master product catalog; use product pages for current specifications.</x:v>
      </x:c>
      <x:c r="M5" s="16" t="str">
        <x:v>https://www.cookmedical.com/products/</x:v>
      </x:c>
      <x:c r="N5" s="16" t="str">
        <x:v>2026-07-24</x:v>
      </x:c>
    </x:row>
    <x:row r="6">
      <x:c r="A6" s="16" t="str">
        <x:v>Core catalogs</x:v>
      </x:c>
      <x:c r="B6" s="16" t="str">
        <x:v>Endoscopy devices</x:v>
      </x:c>
      <x:c r="C6" s="16" t="str">
        <x:v>MICRO-TECH Endoscopy</x:v>
      </x:c>
      <x:c r="D6" s="16" t="str">
        <x:v>Endoscopy Product Catalog</x:v>
      </x:c>
      <x:c r="E6" s="16" t="str">
        <x:v>Catalog PDF</x:v>
      </x:c>
      <x:c r="F6" s="16" t="str">
        <x:v>Mostly disposable</x:v>
      </x:c>
      <x:c r="G6" s="16" t="str">
        <x:v>Airway stents, biopsy forceps, cytology brushes, retrieval devices, dilation and accessories</x:v>
      </x:c>
      <x:c r="H6" s="16" t="str">
        <x:v>Global; verify U.S.</x:v>
      </x:c>
      <x:c r="I6" s="16" t="str">
        <x:v>Current web-hosted catalog; date not stated</x:v>
      </x:c>
      <x:c r="J6" s="16" t="str">
        <x:v>Yes</x:v>
      </x:c>
      <x:c r="K6" s="16" t="str">
        <x:v>1-Core</x:v>
      </x:c>
      <x:c r="L6" s="16" t="str">
        <x:v>Several product-specific catalog URLs resolve to the same 42-page master document; deduplicate by document content.</x:v>
      </x:c>
      <x:c r="M6" s="16" t="str">
        <x:v>https://www.micro-tech-medical.com/uploads/file/micro-tech-endoscopy-product-catalog.pdf</x:v>
      </x:c>
      <x:c r="N6" s="16" t="str">
        <x:v>2026-07-24</x:v>
      </x:c>
    </x:row>
    <x:row r="7">
      <x:c r="A7" s="16" t="str">
        <x:v>Core catalogs</x:v>
      </x:c>
      <x:c r="B7" s="16" t="str">
        <x:v>Thoracic endoscopy</x:v>
      </x:c>
      <x:c r="C7" s="16" t="str">
        <x:v>Richard Wolf</x:v>
      </x:c>
      <x:c r="D7" s="16" t="str">
        <x:v>Bronchoscopy / Thoracoscopy / Mediastinoscopy</x:v>
      </x:c>
      <x:c r="E7" s="16" t="str">
        <x:v>Catalog PDF</x:v>
      </x:c>
      <x:c r="F7" s="16" t="str">
        <x:v>Mostly capital/reusable</x:v>
      </x:c>
      <x:c r="G7" s="16" t="str">
        <x:v>Rigid bronchoscopy, flexible bronchoscopy, thoracoscopy, mediastinoscopy and instruments</x:v>
      </x:c>
      <x:c r="H7" s="16" t="str">
        <x:v>Global; U.S. company present</x:v>
      </x:c>
      <x:c r="I7" s="16" t="str">
        <x:v>Current official catalog page; PDF edition date unclear</x:v>
      </x:c>
      <x:c r="J7" s="16" t="str">
        <x:v>Yes</x:v>
      </x:c>
      <x:c r="K7" s="16" t="str">
        <x:v>1-Core</x:v>
      </x:c>
      <x:c r="L7" s="16" t="str">
        <x:v>Primary Richard Wolf thoracic-endoscopy catalog.</x:v>
      </x:c>
      <x:c r="M7" s="16" t="str">
        <x:v>https://www.richard-wolf.com/mam/data/Typo3/Kataloge/Broncho-_Thorako-_Mediastinoskopie/Thorakale_Endoskopie_en.pdf</x:v>
      </x:c>
      <x:c r="N7" s="16" t="str">
        <x:v>2026-07-24</x:v>
      </x:c>
    </x:row>
    <x:row r="8">
      <x:c r="A8" s="16" t="str">
        <x:v>Core catalogs</x:v>
      </x:c>
      <x:c r="B8" s="16" t="str">
        <x:v>Endoscopy systems</x:v>
      </x:c>
      <x:c r="C8" s="16" t="str">
        <x:v>KARL STORZ</x:v>
      </x:c>
      <x:c r="D8" s="16" t="str">
        <x:v>Online Catalog</x:v>
      </x:c>
      <x:c r="E8" s="16" t="str">
        <x:v>Online catalog</x:v>
      </x:c>
      <x:c r="F8" s="16" t="str">
        <x:v>Mostly capital/reusable</x:v>
      </x:c>
      <x:c r="G8" s="16" t="str">
        <x:v>Adult/pediatric rigid bronchoscopy, flexible bronchoscopy, thoracoscopy and instruments</x:v>
      </x:c>
      <x:c r="H8" s="16" t="str">
        <x:v>Global; verify U.S. configuration</x:v>
      </x:c>
      <x:c r="I8" s="16" t="str">
        <x:v>Live online catalog</x:v>
      </x:c>
      <x:c r="J8" s="16" t="str">
        <x:v>Yes</x:v>
      </x:c>
      <x:c r="K8" s="16" t="str">
        <x:v>1-Core</x:v>
      </x:c>
      <x:c r="L8" s="16" t="str">
        <x:v>Use country selector and local representative to confirm U.S. catalog numbers.</x:v>
      </x:c>
      <x:c r="M8" s="16" t="str">
        <x:v>https://www.karlstorz.com/de/en/online-catalog.htm</x:v>
      </x:c>
      <x:c r="N8" s="16" t="str">
        <x:v>2026-07-24</x:v>
      </x:c>
    </x:row>
    <x:row r="9">
      <x:c r="A9" s="16" t="str">
        <x:v>Core catalogs</x:v>
      </x:c>
      <x:c r="B9" s="16" t="str">
        <x:v>Bronchoscopes and EBUS</x:v>
      </x:c>
      <x:c r="C9" s="16" t="str">
        <x:v>PENTAX Medical</x:v>
      </x:c>
      <x:c r="D9" s="16" t="str">
        <x:v>Endoscopes Product Catalog</x:v>
      </x:c>
      <x:c r="E9" s="16" t="str">
        <x:v>Online catalog</x:v>
      </x:c>
      <x:c r="F9" s="16" t="str">
        <x:v>Capital and single-use scopes</x:v>
      </x:c>
      <x:c r="G9" s="16" t="str">
        <x:v>Reusable/single-use bronchoscopes and EBUS endoscopes</x:v>
      </x:c>
      <x:c r="H9" s="16" t="str">
        <x:v>Global; U.S. pages available</x:v>
      </x:c>
      <x:c r="I9" s="16" t="str">
        <x:v>Live</x:v>
      </x:c>
      <x:c r="J9" s="16" t="str">
        <x:v>Yes</x:v>
      </x:c>
      <x:c r="K9" s="16" t="str">
        <x:v>1-Core</x:v>
      </x:c>
      <x:c r="L9" s="16" t="str">
        <x:v>Includes links to regional online catalog and individual scope pages.</x:v>
      </x:c>
      <x:c r="M9" s="16" t="str">
        <x:v>https://www.pentaxmedical.com/en/products/endoscopes</x:v>
      </x:c>
      <x:c r="N9" s="16" t="str">
        <x:v>2026-07-24</x:v>
      </x:c>
    </x:row>
    <x:row r="10">
      <x:c r="A10" s="16" t="str">
        <x:v>Core catalogs</x:v>
      </x:c>
      <x:c r="B10" s="16" t="str">
        <x:v>Pulmonology</x:v>
      </x:c>
      <x:c r="C10" s="16" t="str">
        <x:v>FUJIFILM Healthcare Americas</x:v>
      </x:c>
      <x:c r="D10" s="16" t="str">
        <x:v>Pulmonology Bronchoscope Portfolio</x:v>
      </x:c>
      <x:c r="E10" s="16" t="str">
        <x:v>Portfolio webpage</x:v>
      </x:c>
      <x:c r="F10" s="16" t="str">
        <x:v>Capital/reusable</x:v>
      </x:c>
      <x:c r="G10" s="16" t="str">
        <x:v>Video bronchoscopes, EBUS scopes and pulmonary imaging</x:v>
      </x:c>
      <x:c r="H10" s="16" t="str">
        <x:v>U.S.</x:v>
      </x:c>
      <x:c r="I10" s="16" t="str">
        <x:v>Live</x:v>
      </x:c>
      <x:c r="J10" s="16" t="str">
        <x:v>Yes</x:v>
      </x:c>
      <x:c r="K10" s="16" t="str">
        <x:v>1-Core</x:v>
      </x:c>
      <x:c r="L10" s="16" t="str">
        <x:v>Current U.S. portfolio page; no single current master PDF located.</x:v>
      </x:c>
      <x:c r="M10" s="16" t="str">
        <x:v>https://healthcaresolutions-us.fujifilm.com/products/endoscopy/pulmonology/bronchoscopes/</x:v>
      </x:c>
      <x:c r="N10" s="16" t="str">
        <x:v>2026-07-24</x:v>
      </x:c>
    </x:row>
    <x:row r="11">
      <x:c r="A11" s="16" t="str">
        <x:v>Core catalogs</x:v>
      </x:c>
      <x:c r="B11" s="16" t="str">
        <x:v>Interventional pulmonology</x:v>
      </x:c>
      <x:c r="C11" s="16" t="str">
        <x:v>NOVATECH</x:v>
      </x:c>
      <x:c r="D11" s="16" t="str">
        <x:v>Current Product Catalogs Download Center</x:v>
      </x:c>
      <x:c r="E11" s="16" t="str">
        <x:v>Catalog landing page</x:v>
      </x:c>
      <x:c r="F11" s="16" t="str">
        <x:v>Both</x:v>
      </x:c>
      <x:c r="G11" s="16" t="str">
        <x:v>Silicone airway stents, rigid bronchoscopy, talc pleurodesis, individualized stents and EWS spigots</x:v>
      </x:c>
      <x:c r="H11" s="16" t="str">
        <x:v>Global; verify U.S. availability</x:v>
      </x:c>
      <x:c r="I11" s="16" t="str">
        <x:v>Live</x:v>
      </x:c>
      <x:c r="J11" s="16" t="str">
        <x:v>Yes</x:v>
      </x:c>
      <x:c r="K11" s="16" t="str">
        <x:v>1-Core</x:v>
      </x:c>
      <x:c r="L11" s="16" t="str">
        <x:v>Central source for five separate interventional-pulmonology catalogs.</x:v>
      </x:c>
      <x:c r="M11" s="16" t="str">
        <x:v>https://novatech.fr/en/catalogs</x:v>
      </x:c>
      <x:c r="N11" s="16" t="str">
        <x:v>2026-07-24</x:v>
      </x:c>
    </x:row>
    <x:row r="12">
      <x:c r="A12" s="16" t="str">
        <x:v>Core catalogs</x:v>
      </x:c>
      <x:c r="B12" s="16" t="str">
        <x:v>Interventional pulmonology</x:v>
      </x:c>
      <x:c r="C12" s="16" t="str">
        <x:v>ERBE</x:v>
      </x:c>
      <x:c r="D12" s="16" t="str">
        <x:v>Interventional Pulmonology Application Brochure</x:v>
      </x:c>
      <x:c r="E12" s="16" t="str">
        <x:v>Application brochure PDF</x:v>
      </x:c>
      <x:c r="F12" s="16" t="str">
        <x:v>Both</x:v>
      </x:c>
      <x:c r="G12" s="16" t="str">
        <x:v>VIO electrosurgery, APC, ERBECRYO 2, probes and pulmonary applications</x:v>
      </x:c>
      <x:c r="H12" s="16" t="str">
        <x:v>Global/U.S. product family</x:v>
      </x:c>
      <x:c r="I12" s="16" t="str">
        <x:v>Current web-hosted brochure</x:v>
      </x:c>
      <x:c r="J12" s="16" t="str">
        <x:v>Yes</x:v>
      </x:c>
      <x:c r="K12" s="16" t="str">
        <x:v>1-Core</x:v>
      </x:c>
      <x:c r="L12" s="16" t="str">
        <x:v>Best single ERBE source for pulmonary equipment plus disposables.</x:v>
      </x:c>
      <x:c r="M12" s="16" t="str">
        <x:v>https://register.erbe-med.com/productfinder/Marketingmaterialien/85800-133_ERBE_EN_Application_brochure_pneumology__D071914.pdf</x:v>
      </x:c>
      <x:c r="N12" s="16" t="str">
        <x:v>2026-07-24</x:v>
      </x:c>
    </x:row>
    <x:row r="13">
      <x:c r="A13" s="16" t="str">
        <x:v>Core catalogs</x:v>
      </x:c>
      <x:c r="B13" s="16" t="str">
        <x:v>Lung health</x:v>
      </x:c>
      <x:c r="C13" s="16" t="str">
        <x:v>Medtronic</x:v>
      </x:c>
      <x:c r="D13" s="16" t="str">
        <x:v>Lung Health &amp; Thoracic Surgery Portfolio</x:v>
      </x:c>
      <x:c r="E13" s="16" t="str">
        <x:v>Portfolio webpage</x:v>
      </x:c>
      <x:c r="F13" s="16" t="str">
        <x:v>Both</x:v>
      </x:c>
      <x:c r="G13" s="16" t="str">
        <x:v>Navigation, lung biopsy, ablation, tracheostomy and thoracic products</x:v>
      </x:c>
      <x:c r="H13" s="16" t="str">
        <x:v>U.S.</x:v>
      </x:c>
      <x:c r="I13" s="16" t="str">
        <x:v>Live</x:v>
      </x:c>
      <x:c r="J13" s="16" t="str">
        <x:v>Yes</x:v>
      </x:c>
      <x:c r="K13" s="16" t="str">
        <x:v>1-Core</x:v>
      </x:c>
      <x:c r="L13" s="16" t="str">
        <x:v>Use as a gateway to ILLUMISITE, superDimension, GenCut, Emprint and Shiley resources.</x:v>
      </x:c>
      <x:c r="M13" s="16" t="str">
        <x:v>https://www.medtronic.com/covidien/en-us/clinical-solutions/lung-health.html</x:v>
      </x:c>
      <x:c r="N13" s="16" t="str">
        <x:v>2026-07-24</x:v>
      </x:c>
    </x:row>
    <x:row r="14">
      <x:c r="A14" s="16" t="str">
        <x:v>Core catalogs</x:v>
      </x:c>
      <x:c r="B14" s="16" t="str">
        <x:v>Pleural and pulmonary</x:v>
      </x:c>
      <x:c r="C14" s="16" t="str">
        <x:v>Merit Medical</x:v>
      </x:c>
      <x:c r="D14" s="16" t="str">
        <x:v>Tracheobronchial Stents Catalog</x:v>
      </x:c>
      <x:c r="E14" s="16" t="str">
        <x:v>Catalog brochure PDF</x:v>
      </x:c>
      <x:c r="F14" s="16" t="str">
        <x:v>Both</x:v>
      </x:c>
      <x:c r="G14" s="16" t="str">
        <x:v>AERO, AEROmini, AERO DV stents and delivery accessories</x:v>
      </x:c>
      <x:c r="H14" s="16" t="str">
        <x:v>U.S.</x:v>
      </x:c>
      <x:c r="I14" s="16" t="str">
        <x:v>Current catalog numbers</x:v>
      </x:c>
      <x:c r="J14" s="16" t="str">
        <x:v>Yes</x:v>
      </x:c>
      <x:c r="K14" s="16" t="str">
        <x:v>1-Core</x:v>
      </x:c>
      <x:c r="L14" s="16" t="str">
        <x:v>Contains detailed dimensions and catalog numbers.</x:v>
      </x:c>
      <x:c r="M14" s="16" t="str">
        <x:v>https://cloud.merit.com/catalog/Brochures/401871001.pdf</x:v>
      </x:c>
      <x:c r="N14" s="16" t="str">
        <x:v>2026-07-24</x:v>
      </x:c>
    </x:row>
    <x:row r="15">
      <x:c r="A15" s="16" t="str">
        <x:v>Core catalogs</x:v>
      </x:c>
      <x:c r="B15" s="16" t="str">
        <x:v>Pleural drainage</x:v>
      </x:c>
      <x:c r="C15" s="16" t="str">
        <x:v>Teleflex</x:v>
      </x:c>
      <x:c r="D15" s="16" t="str">
        <x:v>Arrow Diagnostic and Drainage Products</x:v>
      </x:c>
      <x:c r="E15" s="16" t="str">
        <x:v>Portfolio brochure PDF</x:v>
      </x:c>
      <x:c r="F15" s="16" t="str">
        <x:v>Disposable</x:v>
      </x:c>
      <x:c r="G15" s="16" t="str">
        <x:v>Thoracentesis, pneumothorax and percutaneous drainage products</x:v>
      </x:c>
      <x:c r="H15" s="16" t="str">
        <x:v>U.S.</x:v>
      </x:c>
      <x:c r="I15" s="16" t="str">
        <x:v>Current 2026 web-hosted brochure</x:v>
      </x:c>
      <x:c r="J15" s="16" t="str">
        <x:v>Yes</x:v>
      </x:c>
      <x:c r="K15" s="16" t="str">
        <x:v>1-Core</x:v>
      </x:c>
      <x:c r="L15" s="16" t="str">
        <x:v>High-yield U.S. drainage source.</x:v>
      </x:c>
      <x:c r="M15" s="16" t="str">
        <x:v>https://www.teleflex.com/usa/en/product-areas/interventional/drainage/arrow-diagnostic-drainage-products/MC-006078_Interventional_DND_Product_Line_Brochure_Final.pdf</x:v>
      </x:c>
      <x:c r="N15" s="16" t="str">
        <x:v>2026-07-24</x:v>
      </x:c>
    </x:row>
    <x:row r="16">
      <x:c r="A16" s="16" t="str">
        <x:v>Core catalogs</x:v>
      </x:c>
      <x:c r="B16" s="16" t="str">
        <x:v>Pleural drainage</x:v>
      </x:c>
      <x:c r="C16" s="16" t="str">
        <x:v>Rocket Medical</x:v>
      </x:c>
      <x:c r="D16" s="16" t="str">
        <x:v>Rocket IPC U.S. Sales Brochure</x:v>
      </x:c>
      <x:c r="E16" s="16" t="str">
        <x:v>Portfolio brochure PDF</x:v>
      </x:c>
      <x:c r="F16" s="16" t="str">
        <x:v>Disposable</x:v>
      </x:c>
      <x:c r="G16" s="16" t="str">
        <x:v>Indwelling pleural/peritoneal catheter, insertion kits, drainage supplies and management accessories</x:v>
      </x:c>
      <x:c r="H16" s="16" t="str">
        <x:v>U.S.</x:v>
      </x:c>
      <x:c r="I16" s="16" t="str">
        <x:v>2025</x:v>
      </x:c>
      <x:c r="J16" s="16" t="str">
        <x:v>Yes</x:v>
      </x:c>
      <x:c r="K16" s="16" t="str">
        <x:v>1-Core</x:v>
      </x:c>
      <x:c r="L16" s="16" t="str">
        <x:v>Current U.S. IPC portfolio brochure.</x:v>
      </x:c>
      <x:c r="M16" s="16" t="str">
        <x:v>https://rocketmedical.com/wp-content/uploads/2025/11/SALES590_Rev2_RocketMedical_IPC_Sales_Brochure_Trifold-US-2.pdf</x:v>
      </x:c>
      <x:c r="N16" s="16" t="str">
        <x:v>2026-07-24</x:v>
      </x:c>
    </x:row>
    <x:row r="17">
      <x:c r="A17" s="16" t="str">
        <x:v>Core catalogs</x:v>
      </x:c>
      <x:c r="B17" s="16" t="str">
        <x:v>Thoracic drainage</x:v>
      </x:c>
      <x:c r="C17" s="16" t="str">
        <x:v>Getinge / Atrium</x:v>
      </x:c>
      <x:c r="D17" s="16" t="str">
        <x:v>Thoracic Drainage Solutions</x:v>
      </x:c>
      <x:c r="E17" s="16" t="str">
        <x:v>Portfolio webpage</x:v>
      </x:c>
      <x:c r="F17" s="16" t="str">
        <x:v>Both</x:v>
      </x:c>
      <x:c r="G17" s="16" t="str">
        <x:v>Chest drains, thoracic catheters and transitional accessories</x:v>
      </x:c>
      <x:c r="H17" s="16" t="str">
        <x:v>U.S.</x:v>
      </x:c>
      <x:c r="I17" s="16" t="str">
        <x:v>Live</x:v>
      </x:c>
      <x:c r="J17" s="16" t="str">
        <x:v>Yes</x:v>
      </x:c>
      <x:c r="K17" s="16" t="str">
        <x:v>1-Core</x:v>
      </x:c>
      <x:c r="L17" s="16" t="str">
        <x:v>Master Atrium thoracic drainage portfolio.</x:v>
      </x:c>
      <x:c r="M17" s="16" t="str">
        <x:v>https://www.getinge.com/us/products-and-solutions/intensive-care/thoracic-drainage-solutions/</x:v>
      </x:c>
      <x:c r="N17" s="16" t="str">
        <x:v>2026-07-24</x:v>
      </x:c>
    </x:row>
    <x:row r="18">
      <x:c r="A18" s="16" t="str">
        <x:v>Core catalogs</x:v>
      </x:c>
      <x:c r="B18" s="16" t="str">
        <x:v>Tracheostomy</x:v>
      </x:c>
      <x:c r="C18" s="16" t="str">
        <x:v>ICU Medical</x:v>
      </x:c>
      <x:c r="D18" s="16" t="str">
        <x:v>Tracheostomy Portfolio</x:v>
      </x:c>
      <x:c r="E18" s="16" t="str">
        <x:v>Portfolio webpage</x:v>
      </x:c>
      <x:c r="F18" s="16" t="str">
        <x:v>Both</x:v>
      </x:c>
      <x:c r="G18" s="16" t="str">
        <x:v>Portex and Bivona tracheostomy tubes, kits and accessories</x:v>
      </x:c>
      <x:c r="H18" s="16" t="str">
        <x:v>U.S.</x:v>
      </x:c>
      <x:c r="I18" s="16" t="str">
        <x:v>Live</x:v>
      </x:c>
      <x:c r="J18" s="16" t="str">
        <x:v>Yes</x:v>
      </x:c>
      <x:c r="K18" s="16" t="str">
        <x:v>1-Core</x:v>
      </x:c>
      <x:c r="L18" s="16" t="str">
        <x:v>Master tracheostomy portfolio gateway.</x:v>
      </x:c>
      <x:c r="M18" s="16" t="str">
        <x:v>https://www.icumed.com/products/airway-management/tracheostomy/</x:v>
      </x:c>
      <x:c r="N18" s="16" t="str">
        <x:v>2026-07-24</x:v>
      </x:c>
    </x:row>
    <x:row r="19">
      <x:c r="A19" s="16" t="str">
        <x:v>Flexible bronchoscopy &amp; EBUS</x:v>
      </x:c>
      <x:c r="B19" s="16" t="str">
        <x:v>EBUS scope</x:v>
      </x:c>
      <x:c r="C19" s="16" t="str">
        <x:v>FUJIFILM Healthcare Americas</x:v>
      </x:c>
      <x:c r="D19" s="16" t="str">
        <x:v>EB-710US Balloon-less EBUS Scope</x:v>
      </x:c>
      <x:c r="E19" s="16" t="str">
        <x:v>Product webpage</x:v>
      </x:c>
      <x:c r="F19" s="16" t="str">
        <x:v>Capital/reusable</x:v>
      </x:c>
      <x:c r="G19" s="16" t="str">
        <x:v>Linear EBUS-TBNA and mediastinal/peripheral targets</x:v>
      </x:c>
      <x:c r="H19" s="16" t="str">
        <x:v>U.S.</x:v>
      </x:c>
      <x:c r="I19" s="16" t="str">
        <x:v>Launched in U.S. in 2026</x:v>
      </x:c>
      <x:c r="J19" s="16" t="str">
        <x:v>Yes</x:v>
      </x:c>
      <x:c r="K19" s="16" t="str">
        <x:v>1-Core</x:v>
      </x:c>
      <x:c r="L19" s="16" t="str">
        <x:v>Current U.S. product page with specifications.</x:v>
      </x:c>
      <x:c r="M19" s="16" t="str">
        <x:v>https://healthcaresolutions-us.fujifilm.com/products/endoscopy/pulmonology/endobronchial-ultrasound-ebus/</x:v>
      </x:c>
      <x:c r="N19" s="16" t="str">
        <x:v>2026-07-24</x:v>
      </x:c>
    </x:row>
    <x:row r="20">
      <x:c r="A20" s="16" t="str">
        <x:v>Flexible bronchoscopy &amp; EBUS</x:v>
      </x:c>
      <x:c r="B20" s="16" t="str">
        <x:v>Radial EBUS</x:v>
      </x:c>
      <x:c r="C20" s="16" t="str">
        <x:v>FUJIFILM Healthcare Americas</x:v>
      </x:c>
      <x:c r="D20" s="16" t="str">
        <x:v>Ultrasonic Radial Probe System</x:v>
      </x:c>
      <x:c r="E20" s="16" t="str">
        <x:v>Product webpage</x:v>
      </x:c>
      <x:c r="F20" s="16" t="str">
        <x:v>Capital/reusable</x:v>
      </x:c>
      <x:c r="G20" s="16" t="str">
        <x:v>Peripheral pulmonary lesion localization</x:v>
      </x:c>
      <x:c r="H20" s="16" t="str">
        <x:v>U.S.</x:v>
      </x:c>
      <x:c r="I20" s="16" t="str">
        <x:v>Live</x:v>
      </x:c>
      <x:c r="J20" s="16" t="str">
        <x:v>Yes</x:v>
      </x:c>
      <x:c r="K20" s="16" t="str">
        <x:v>1-Core</x:v>
      </x:c>
      <x:c r="L20" s="16" t="str">
        <x:v>Current radial-probe product page.</x:v>
      </x:c>
      <x:c r="M20" s="16" t="str">
        <x:v>https://healthcaresolutions-us.fujifilm.com/products/endoscopy/pulmonology/ultrasonic-radial-probe-system/</x:v>
      </x:c>
      <x:c r="N20" s="16" t="str">
        <x:v>2026-07-24</x:v>
      </x:c>
    </x:row>
    <x:row r="21">
      <x:c r="A21" s="16" t="str">
        <x:v>Flexible bronchoscopy &amp; EBUS</x:v>
      </x:c>
      <x:c r="B21" s="16" t="str">
        <x:v>EBUS needle</x:v>
      </x:c>
      <x:c r="C21" s="16" t="str">
        <x:v>Cook Medical</x:v>
      </x:c>
      <x:c r="D21" s="16" t="str">
        <x:v>EchoTip Ultra Endobronchial HD Ultrasound Needle</x:v>
      </x:c>
      <x:c r="E21" s="16" t="str">
        <x:v>Product webpage</x:v>
      </x:c>
      <x:c r="F21" s="16" t="str">
        <x:v>Disposable</x:v>
      </x:c>
      <x:c r="G21" s="16" t="str">
        <x:v>EBUS-guided fine-needle aspiration</x:v>
      </x:c>
      <x:c r="H21" s="16" t="str">
        <x:v>U.S.</x:v>
      </x:c>
      <x:c r="I21" s="16" t="str">
        <x:v>Live</x:v>
      </x:c>
      <x:c r="J21" s="16" t="str">
        <x:v>Yes</x:v>
      </x:c>
      <x:c r="K21" s="16" t="str">
        <x:v>1-Core</x:v>
      </x:c>
      <x:c r="L21" s="16" t="str">
        <x:v>Specifications and compatible-scope variants.</x:v>
      </x:c>
      <x:c r="M21" s="16" t="str">
        <x:v>https://www.cookmedical.com/products/esc_echo_ebus_webds/</x:v>
      </x:c>
      <x:c r="N21" s="16" t="str">
        <x:v>2026-07-24</x:v>
      </x:c>
    </x:row>
    <x:row r="22">
      <x:c r="A22" s="16" t="str">
        <x:v>Flexible bronchoscopy &amp; EBUS</x:v>
      </x:c>
      <x:c r="B22" s="16" t="str">
        <x:v>Single-use bronchoscope</x:v>
      </x:c>
      <x:c r="C22" s="16" t="str">
        <x:v>Ambu</x:v>
      </x:c>
      <x:c r="D22" s="16" t="str">
        <x:v>aScope 5 Broncho Family Brochure</x:v>
      </x:c>
      <x:c r="E22" s="16" t="str">
        <x:v>Portfolio brochure PDF</x:v>
      </x:c>
      <x:c r="F22" s="16" t="str">
        <x:v>Both</x:v>
      </x:c>
      <x:c r="G22" s="16" t="str">
        <x:v>Diagnostic and therapeutic single-use bronchoscopy</x:v>
      </x:c>
      <x:c r="H22" s="16" t="str">
        <x:v>U.S.</x:v>
      </x:c>
      <x:c r="I22" s="16" t="str">
        <x:v>Current product family</x:v>
      </x:c>
      <x:c r="J22" s="16" t="str">
        <x:v>Yes</x:v>
      </x:c>
      <x:c r="K22" s="16" t="str">
        <x:v>1-Core</x:v>
      </x:c>
      <x:c r="L22" s="16" t="str">
        <x:v>Family brochure for scope sizes and display ecosystem.</x:v>
      </x:c>
      <x:c r="M22" s="16" t="str">
        <x:v>https://www.ambuusa.com/Admin/Public/Download.aspx?file=Files%2FFiles%2FDownloads%2FAmbu+USA%2FFlexibleEndoscopes%2FBronchoscopes%2FaScope+5+Broncho%2FBrochures%2FaScope-5-Broncho-Family-Brochure.pdf</x:v>
      </x:c>
      <x:c r="N22" s="16" t="str">
        <x:v>2026-07-24</x:v>
      </x:c>
    </x:row>
    <x:row r="23">
      <x:c r="A23" s="16" t="str">
        <x:v>Flexible bronchoscopy &amp; EBUS</x:v>
      </x:c>
      <x:c r="B23" s="16" t="str">
        <x:v>Single-use bronchoscope</x:v>
      </x:c>
      <x:c r="C23" s="16" t="str">
        <x:v>Ambu</x:v>
      </x:c>
      <x:c r="D23" s="16" t="str">
        <x:v>aScope 5 Broncho Product Family</x:v>
      </x:c>
      <x:c r="E23" s="16" t="str">
        <x:v>Product webpage</x:v>
      </x:c>
      <x:c r="F23" s="16" t="str">
        <x:v>Both</x:v>
      </x:c>
      <x:c r="G23" s="16" t="str">
        <x:v>Diagnostic and therapeutic single-use bronchoscopy</x:v>
      </x:c>
      <x:c r="H23" s="16" t="str">
        <x:v>U.S.</x:v>
      </x:c>
      <x:c r="I23" s="16" t="str">
        <x:v>Live</x:v>
      </x:c>
      <x:c r="J23" s="16" t="str">
        <x:v>Yes</x:v>
      </x:c>
      <x:c r="K23" s="16" t="str">
        <x:v>1-Core</x:v>
      </x:c>
      <x:c r="L23" s="16" t="str">
        <x:v>Current datasheets, IFUs and compatible display information.</x:v>
      </x:c>
      <x:c r="M23" s="16" t="str">
        <x:v>https://www.ambuusa.com/endoscopy/pulmonology/bronchoscopes/ascope-5-broncho</x:v>
      </x:c>
      <x:c r="N23" s="16" t="str">
        <x:v>2026-07-24</x:v>
      </x:c>
    </x:row>
    <x:row r="24">
      <x:c r="A24" s="16" t="str">
        <x:v>Flexible bronchoscopy &amp; EBUS</x:v>
      </x:c>
      <x:c r="B24" s="16" t="str">
        <x:v>Single-use bronchoscope</x:v>
      </x:c>
      <x:c r="C24" s="16" t="str">
        <x:v>Verathon</x:v>
      </x:c>
      <x:c r="D24" s="16" t="str">
        <x:v>GlideScope BFlex 2 Brochure</x:v>
      </x:c>
      <x:c r="E24" s="16" t="str">
        <x:v>Portfolio brochure PDF</x:v>
      </x:c>
      <x:c r="F24" s="16" t="str">
        <x:v>Both</x:v>
      </x:c>
      <x:c r="G24" s="16" t="str">
        <x:v>Single-use bronchoscopy with GlideScope Core monitor</x:v>
      </x:c>
      <x:c r="H24" s="16" t="str">
        <x:v>U.S.</x:v>
      </x:c>
      <x:c r="I24" s="16" t="str">
        <x:v>2023 brochure; product remains current</x:v>
      </x:c>
      <x:c r="J24" s="16" t="str">
        <x:v>Yes</x:v>
      </x:c>
      <x:c r="K24" s="16" t="str">
        <x:v>1-Core</x:v>
      </x:c>
      <x:c r="L24" s="16" t="str">
        <x:v>Scope family, working-channel and display details.</x:v>
      </x:c>
      <x:c r="M24" s="16" t="str">
        <x:v>https://www.verathon.com/sites/default/files/2023-04/0900-5207_Rev-02_BFlex2_Brochure_WEB.pdf</x:v>
      </x:c>
      <x:c r="N24" s="16" t="str">
        <x:v>2026-07-24</x:v>
      </x:c>
    </x:row>
    <x:row r="25">
      <x:c r="A25" s="16" t="str">
        <x:v>Flexible bronchoscopy &amp; EBUS</x:v>
      </x:c>
      <x:c r="B25" s="16" t="str">
        <x:v>Single-use bronchoscope</x:v>
      </x:c>
      <x:c r="C25" s="16" t="str">
        <x:v>Boston Scientific / Scivita</x:v>
      </x:c>
      <x:c r="D25" s="16" t="str">
        <x:v>Single-Use Broncho Videoscope Brief Summary</x:v>
      </x:c>
      <x:c r="E25" s="16" t="str">
        <x:v>Brief summary PDF</x:v>
      </x:c>
      <x:c r="F25" s="16" t="str">
        <x:v>Disposable plus capital processor</x:v>
      </x:c>
      <x:c r="G25" s="16" t="str">
        <x:v>Observation, diagnosis, imaging and treatment of the respiratory system</x:v>
      </x:c>
      <x:c r="H25" s="16" t="str">
        <x:v>U.S.</x:v>
      </x:c>
      <x:c r="I25" s="16" t="str">
        <x:v>February 2026</x:v>
      </x:c>
      <x:c r="J25" s="16" t="str">
        <x:v>Yes</x:v>
      </x:c>
      <x:c r="K25" s="16" t="str">
        <x:v>1-Core</x:v>
      </x:c>
      <x:c r="L25" s="16" t="str">
        <x:v>Current safety/indications document; detailed ordering data are in the 2026 reference guide.</x:v>
      </x:c>
      <x:c r="M25" s="16" t="str">
        <x:v>https://www.bostonscientific.com/content/dam/bostonscientific/endo/portfolio-group/scivita/ENDO-Single-UseBronchoVideoscope-BriefSummary.pdf</x:v>
      </x:c>
      <x:c r="N25" s="16" t="str">
        <x:v>2026-07-24</x:v>
      </x:c>
    </x:row>
    <x:row r="26">
      <x:c r="A26" s="16" t="str">
        <x:v>Flexible bronchoscopy &amp; EBUS</x:v>
      </x:c>
      <x:c r="B26" s="16" t="str">
        <x:v>Core biopsy</x:v>
      </x:c>
      <x:c r="C26" s="16" t="str">
        <x:v>Medtronic</x:v>
      </x:c>
      <x:c r="D26" s="16" t="str">
        <x:v>GenCut Core Biopsy System</x:v>
      </x:c>
      <x:c r="E26" s="16" t="str">
        <x:v>Product webpage</x:v>
      </x:c>
      <x:c r="F26" s="16" t="str">
        <x:v>Disposable</x:v>
      </x:c>
      <x:c r="G26" s="16" t="str">
        <x:v>Peripheral pulmonary lesion core biopsy</x:v>
      </x:c>
      <x:c r="H26" s="16" t="str">
        <x:v>U.S.</x:v>
      </x:c>
      <x:c r="I26" s="16" t="str">
        <x:v>Live</x:v>
      </x:c>
      <x:c r="J26" s="16" t="str">
        <x:v>Yes</x:v>
      </x:c>
      <x:c r="K26" s="16" t="str">
        <x:v>1-Core</x:v>
      </x:c>
      <x:c r="L26" s="16" t="str">
        <x:v>Use with navigation systems; confirm current compatible catheter/platform.</x:v>
      </x:c>
      <x:c r="M26" s="16" t="str">
        <x:v>https://www.medtronic.com/covidien/en-us/products/lung-biopsy/gencut-core-biopsy-system.html</x:v>
      </x:c>
      <x:c r="N26" s="16" t="str">
        <x:v>2026-07-24</x:v>
      </x:c>
    </x:row>
    <x:row r="27">
      <x:c r="A27" s="16" t="str">
        <x:v>Navigation &amp; robotics</x:v>
      </x:c>
      <x:c r="B27" s="16" t="str">
        <x:v>Robotic bronchoscopy</x:v>
      </x:c>
      <x:c r="C27" s="16" t="str">
        <x:v>Intuitive</x:v>
      </x:c>
      <x:c r="D27" s="16" t="str">
        <x:v>Ion Endoluminal System Brochure</x:v>
      </x:c>
      <x:c r="E27" s="16" t="str">
        <x:v>System brochure PDF</x:v>
      </x:c>
      <x:c r="F27" s="16" t="str">
        <x:v>Capital plus disposable catheter/instruments</x:v>
      </x:c>
      <x:c r="G27" s="16" t="str">
        <x:v>Robotic bronchoscopy for peripheral pulmonary lesions</x:v>
      </x:c>
      <x:c r="H27" s="16" t="str">
        <x:v>U.S.</x:v>
      </x:c>
      <x:c r="I27" s="16" t="str">
        <x:v>Current</x:v>
      </x:c>
      <x:c r="J27" s="16" t="str">
        <x:v>Yes</x:v>
      </x:c>
      <x:c r="K27" s="16" t="str">
        <x:v>1-Core</x:v>
      </x:c>
      <x:c r="L27" s="16" t="str">
        <x:v>System-level overview; obtain current instrument ordering guide from representative.</x:v>
      </x:c>
      <x:c r="M27" s="16" t="str">
        <x:v>https://www.intuitive.com/en-us/-/media/Project/Intuitive-surgical/files/pdf/1001807-us-ion-brochure.pdf</x:v>
      </x:c>
      <x:c r="N27" s="16" t="str">
        <x:v>2026-07-24</x:v>
      </x:c>
    </x:row>
    <x:row r="28">
      <x:c r="A28" s="16" t="str">
        <x:v>Navigation &amp; robotics</x:v>
      </x:c>
      <x:c r="B28" s="16" t="str">
        <x:v>Robotic bronchoscopy</x:v>
      </x:c>
      <x:c r="C28" s="16" t="str">
        <x:v>Intuitive</x:v>
      </x:c>
      <x:c r="D28" s="16" t="str">
        <x:v>Ion Endoluminal System</x:v>
      </x:c>
      <x:c r="E28" s="16" t="str">
        <x:v>Product webpage</x:v>
      </x:c>
      <x:c r="F28" s="16" t="str">
        <x:v>Both</x:v>
      </x:c>
      <x:c r="G28" s="16" t="str">
        <x:v>Robotic bronchoscopy for lung biopsy</x:v>
      </x:c>
      <x:c r="H28" s="16" t="str">
        <x:v>U.S.</x:v>
      </x:c>
      <x:c r="I28" s="16" t="str">
        <x:v>Live</x:v>
      </x:c>
      <x:c r="J28" s="16" t="str">
        <x:v>Yes</x:v>
      </x:c>
      <x:c r="K28" s="16" t="str">
        <x:v>1-Core</x:v>
      </x:c>
      <x:c r="L28" s="16" t="str">
        <x:v>Current product and clinical-resource gateway.</x:v>
      </x:c>
      <x:c r="M28" s="16" t="str">
        <x:v>https://www.intuitive.com/en-us/products-and-services/ion</x:v>
      </x:c>
      <x:c r="N28" s="16" t="str">
        <x:v>2026-07-24</x:v>
      </x:c>
    </x:row>
    <x:row r="29">
      <x:c r="A29" s="16" t="str">
        <x:v>Navigation &amp; robotics</x:v>
      </x:c>
      <x:c r="B29" s="16" t="str">
        <x:v>Robotic bronchoscopy</x:v>
      </x:c>
      <x:c r="C29" s="16" t="str">
        <x:v>Johnson &amp; Johnson MedTech</x:v>
      </x:c>
      <x:c r="D29" s="16" t="str">
        <x:v>MONARCH Bronchoscopy Platform</x:v>
      </x:c>
      <x:c r="E29" s="16" t="str">
        <x:v>Product webpage</x:v>
      </x:c>
      <x:c r="F29" s="16" t="str">
        <x:v>Both</x:v>
      </x:c>
      <x:c r="G29" s="16" t="str">
        <x:v>Robotic-assisted bronchoscopy and peripheral lung biopsy</x:v>
      </x:c>
      <x:c r="H29" s="16" t="str">
        <x:v>U.S.</x:v>
      </x:c>
      <x:c r="I29" s="16" t="str">
        <x:v>Live</x:v>
      </x:c>
      <x:c r="J29" s="16" t="str">
        <x:v>Yes</x:v>
      </x:c>
      <x:c r="K29" s="16" t="str">
        <x:v>1-Core</x:v>
      </x:c>
      <x:c r="L29" s="16" t="str">
        <x:v>No current public product catalog PDF found; request capital and disposable ordering guides.</x:v>
      </x:c>
      <x:c r="M29" s="16" t="str">
        <x:v>https://www.jnjmedtech.com/en-US/product/monarch-platform</x:v>
      </x:c>
      <x:c r="N29" s="16" t="str">
        <x:v>2026-07-24</x:v>
      </x:c>
    </x:row>
    <x:row r="30">
      <x:c r="A30" s="16" t="str">
        <x:v>Navigation &amp; robotics</x:v>
      </x:c>
      <x:c r="B30" s="16" t="str">
        <x:v>Robotic bronchoscopy</x:v>
      </x:c>
      <x:c r="C30" s="16" t="str">
        <x:v>Noah Medical</x:v>
      </x:c>
      <x:c r="D30" s="16" t="str">
        <x:v>Galaxy System</x:v>
      </x:c>
      <x:c r="E30" s="16" t="str">
        <x:v>Product webpage</x:v>
      </x:c>
      <x:c r="F30" s="16" t="str">
        <x:v>Both</x:v>
      </x:c>
      <x:c r="G30" s="16" t="str">
        <x:v>Robotic-assisted bronchoscopy with integrated navigation/imaging</x:v>
      </x:c>
      <x:c r="H30" s="16" t="str">
        <x:v>U.S.</x:v>
      </x:c>
      <x:c r="I30" s="16" t="str">
        <x:v>Live</x:v>
      </x:c>
      <x:c r="J30" s="16" t="str">
        <x:v>Yes</x:v>
      </x:c>
      <x:c r="K30" s="16" t="str">
        <x:v>1-Core</x:v>
      </x:c>
      <x:c r="L30" s="16" t="str">
        <x:v>Public system walkthrough; request full disposable SKU catalog.</x:v>
      </x:c>
      <x:c r="M30" s="16" t="str">
        <x:v>https://www.noahmed.com/galaxy-system</x:v>
      </x:c>
      <x:c r="N30" s="16" t="str">
        <x:v>2026-07-24</x:v>
      </x:c>
    </x:row>
    <x:row r="31">
      <x:c r="A31" s="16" t="str">
        <x:v>Navigation &amp; robotics</x:v>
      </x:c>
      <x:c r="B31" s="16" t="str">
        <x:v>Electromagnetic navigation</x:v>
      </x:c>
      <x:c r="C31" s="16" t="str">
        <x:v>Medtronic</x:v>
      </x:c>
      <x:c r="D31" s="16" t="str">
        <x:v>ILLUMISITE Platform Brochure</x:v>
      </x:c>
      <x:c r="E31" s="16" t="str">
        <x:v>System brochure PDF</x:v>
      </x:c>
      <x:c r="F31" s="16" t="str">
        <x:v>Both</x:v>
      </x:c>
      <x:c r="G31" s="16" t="str">
        <x:v>Electromagnetic navigation bronchoscopy and fluoroscopic navigation</x:v>
      </x:c>
      <x:c r="H31" s="16" t="str">
        <x:v>U.S.</x:v>
      </x:c>
      <x:c r="I31" s="16" t="str">
        <x:v>Current</x:v>
      </x:c>
      <x:c r="J31" s="16" t="str">
        <x:v>Yes</x:v>
      </x:c>
      <x:c r="K31" s="16" t="str">
        <x:v>1-Core</x:v>
      </x:c>
      <x:c r="L31" s="16" t="str">
        <x:v>System and procedural component overview.</x:v>
      </x:c>
      <x:c r="M31" s="16" t="str">
        <x:v>https://www.medtronic.com/content/dam/covidien/library/us/en/product/interventional-lung-solutions/illumisite-platform-brochure.pdf</x:v>
      </x:c>
      <x:c r="N31" s="16" t="str">
        <x:v>2026-07-24</x:v>
      </x:c>
    </x:row>
    <x:row r="32">
      <x:c r="A32" s="16" t="str">
        <x:v>Navigation &amp; robotics</x:v>
      </x:c>
      <x:c r="B32" s="16" t="str">
        <x:v>Electromagnetic navigation</x:v>
      </x:c>
      <x:c r="C32" s="16" t="str">
        <x:v>Medtronic</x:v>
      </x:c>
      <x:c r="D32" s="16" t="str">
        <x:v>ILLUMISITE Platform</x:v>
      </x:c>
      <x:c r="E32" s="16" t="str">
        <x:v>Product webpage</x:v>
      </x:c>
      <x:c r="F32" s="16" t="str">
        <x:v>Both</x:v>
      </x:c>
      <x:c r="G32" s="16" t="str">
        <x:v>Navigation bronchoscopy</x:v>
      </x:c>
      <x:c r="H32" s="16" t="str">
        <x:v>U.S.</x:v>
      </x:c>
      <x:c r="I32" s="16" t="str">
        <x:v>Live</x:v>
      </x:c>
      <x:c r="J32" s="16" t="str">
        <x:v>Yes</x:v>
      </x:c>
      <x:c r="K32" s="16" t="str">
        <x:v>1-Core</x:v>
      </x:c>
      <x:c r="L32" s="16" t="str">
        <x:v>Current platform page and resource gateway.</x:v>
      </x:c>
      <x:c r="M32" s="16" t="str">
        <x:v>https://www.medtronic.com/covidien/en-us/products/interventional-lung-solutions/illumisite-platform.html</x:v>
      </x:c>
      <x:c r="N32" s="16" t="str">
        <x:v>2026-07-24</x:v>
      </x:c>
    </x:row>
    <x:row r="33">
      <x:c r="A33" s="16" t="str">
        <x:v>Navigation &amp; robotics</x:v>
      </x:c>
      <x:c r="B33" s="16" t="str">
        <x:v>Image-guided bronchoscopy</x:v>
      </x:c>
      <x:c r="C33" s="16" t="str">
        <x:v>Body Vision Medical</x:v>
      </x:c>
      <x:c r="D33" s="16" t="str">
        <x:v>LungVision System</x:v>
      </x:c>
      <x:c r="E33" s="16" t="str">
        <x:v>Product webpage</x:v>
      </x:c>
      <x:c r="F33" s="16" t="str">
        <x:v>Both</x:v>
      </x:c>
      <x:c r="G33" s="16" t="str">
        <x:v>Real-time augmented fluoroscopic navigation and procedure kits</x:v>
      </x:c>
      <x:c r="H33" s="16" t="str">
        <x:v>U.S.</x:v>
      </x:c>
      <x:c r="I33" s="16" t="str">
        <x:v>Live</x:v>
      </x:c>
      <x:c r="J33" s="16" t="str">
        <x:v>Yes</x:v>
      </x:c>
      <x:c r="K33" s="16" t="str">
        <x:v>1-Core</x:v>
      </x:c>
      <x:c r="L33" s="16" t="str">
        <x:v>No public comprehensive ordering guide located.</x:v>
      </x:c>
      <x:c r="M33" s="16" t="str">
        <x:v>https://bodyvisionmedical.com/lungvision-system/</x:v>
      </x:c>
      <x:c r="N33" s="16" t="str">
        <x:v>2026-07-24</x:v>
      </x:c>
    </x:row>
    <x:row r="34">
      <x:c r="A34" s="16" t="str">
        <x:v>Navigation &amp; robotics</x:v>
      </x:c>
      <x:c r="B34" s="16" t="str">
        <x:v>Mobile 3D C-arm</x:v>
      </x:c>
      <x:c r="C34" s="16" t="str">
        <x:v>Siemens Healthineers</x:v>
      </x:c>
      <x:c r="D34" s="16" t="str">
        <x:v>Cios Spin</x:v>
      </x:c>
      <x:c r="E34" s="16" t="str">
        <x:v>Product webpage</x:v>
      </x:c>
      <x:c r="F34" s="16" t="str">
        <x:v>Capital</x:v>
      </x:c>
      <x:c r="G34" s="16" t="str">
        <x:v>Cone-beam CT / 3D imaging during bronchoscopy</x:v>
      </x:c>
      <x:c r="H34" s="16" t="str">
        <x:v>U.S./global</x:v>
      </x:c>
      <x:c r="I34" s="16" t="str">
        <x:v>Live</x:v>
      </x:c>
      <x:c r="J34" s="16" t="str">
        <x:v>Yes</x:v>
      </x:c>
      <x:c r="K34" s="16" t="str">
        <x:v>1-Core</x:v>
      </x:c>
      <x:c r="L34" s="16" t="str">
        <x:v>Pulmonology is a listed clinical application.</x:v>
      </x:c>
      <x:c r="M34" s="16" t="str">
        <x:v>https://www.siemens-healthineers.com/surgical-c-arms-and-navigation/mobile-c-arms/cios-spin</x:v>
      </x:c>
      <x:c r="N34" s="16" t="str">
        <x:v>2026-07-24</x:v>
      </x:c>
    </x:row>
    <x:row r="35">
      <x:c r="A35" s="16" t="str">
        <x:v>Navigation &amp; robotics</x:v>
      </x:c>
      <x:c r="B35" s="16" t="str">
        <x:v>Cone-beam CT</x:v>
      </x:c>
      <x:c r="C35" s="16" t="str">
        <x:v>Philips</x:v>
      </x:c>
      <x:c r="D35" s="16" t="str">
        <x:v>Lung Suite Brochure</x:v>
      </x:c>
      <x:c r="E35" s="16" t="str">
        <x:v>Solution brochure PDF</x:v>
      </x:c>
      <x:c r="F35" s="16" t="str">
        <x:v>Capital</x:v>
      </x:c>
      <x:c r="G35" s="16" t="str">
        <x:v>Cone-beam CT guidance for lung interventions</x:v>
      </x:c>
      <x:c r="H35" s="16" t="str">
        <x:v>U.S./global</x:v>
      </x:c>
      <x:c r="I35" s="16" t="str">
        <x:v>Current solution family</x:v>
      </x:c>
      <x:c r="J35" s="16" t="str">
        <x:v>Yes</x:v>
      </x:c>
      <x:c r="K35" s="16" t="str">
        <x:v>1-Core</x:v>
      </x:c>
      <x:c r="L35" s="16" t="str">
        <x:v>Intraprocedural imaging and workflow overview.</x:v>
      </x:c>
      <x:c r="M35" s="16" t="str">
        <x:v>https://www.usa.philips.com/c-dam/b2bhc/master/resource-catalog/landing/lung-suite/452299171151-lung-suite-brochure.pdf</x:v>
      </x:c>
      <x:c r="N35" s="16" t="str">
        <x:v>2026-07-24</x:v>
      </x:c>
    </x:row>
    <x:row r="36">
      <x:c r="A36" s="16" t="str">
        <x:v>Navigation &amp; robotics</x:v>
      </x:c>
      <x:c r="B36" s="16" t="str">
        <x:v>3D mobile C-arm</x:v>
      </x:c>
      <x:c r="C36" s="16" t="str">
        <x:v>GE HealthCare</x:v>
      </x:c>
      <x:c r="D36" s="16" t="str">
        <x:v>OEC 3D Lung Suite</x:v>
      </x:c>
      <x:c r="E36" s="16" t="str">
        <x:v>Product webpage</x:v>
      </x:c>
      <x:c r="F36" s="16" t="str">
        <x:v>Capital</x:v>
      </x:c>
      <x:c r="G36" s="16" t="str">
        <x:v>3D imaging and navigation support for bronchoscopy</x:v>
      </x:c>
      <x:c r="H36" s="16" t="str">
        <x:v>U.S.</x:v>
      </x:c>
      <x:c r="I36" s="16" t="str">
        <x:v>Current</x:v>
      </x:c>
      <x:c r="J36" s="16" t="str">
        <x:v>Yes</x:v>
      </x:c>
      <x:c r="K36" s="16" t="str">
        <x:v>1-Core</x:v>
      </x:c>
      <x:c r="L36" s="16" t="str">
        <x:v>Current lung-suite product information.</x:v>
      </x:c>
      <x:c r="M36" s="16" t="str">
        <x:v>https://www.gehealthcare.com/products/surgical-imaging/oec-3d/lung-suite</x:v>
      </x:c>
      <x:c r="N36" s="16" t="str">
        <x:v>2026-07-24</x:v>
      </x:c>
    </x:row>
    <x:row r="37">
      <x:c r="A37" s="16" t="str">
        <x:v>Airway therapy</x:v>
      </x:c>
      <x:c r="B37" s="16" t="str">
        <x:v>Metal stents</x:v>
      </x:c>
      <x:c r="C37" s="16" t="str">
        <x:v>Merit Medical</x:v>
      </x:c>
      <x:c r="D37" s="16" t="str">
        <x:v>AERO / AEROmini / AERO DV Tracheobronchial Stents</x:v>
      </x:c>
      <x:c r="E37" s="16" t="str">
        <x:v>Catalog brochure PDF</x:v>
      </x:c>
      <x:c r="F37" s="16" t="str">
        <x:v>Both</x:v>
      </x:c>
      <x:c r="G37" s="16" t="str">
        <x:v>Malignant tracheobronchial strictures and stent delivery</x:v>
      </x:c>
      <x:c r="H37" s="16" t="str">
        <x:v>U.S.</x:v>
      </x:c>
      <x:c r="I37" s="16" t="str">
        <x:v>Current catalog numbers</x:v>
      </x:c>
      <x:c r="J37" s="16" t="str">
        <x:v>Yes</x:v>
      </x:c>
      <x:c r="K37" s="16" t="str">
        <x:v>1-Core</x:v>
      </x:c>
      <x:c r="L37" s="16" t="str">
        <x:v>Detailed sizes and delivery-system specifications.</x:v>
      </x:c>
      <x:c r="M37" s="16" t="str">
        <x:v>https://cloud.merit.com/catalog/Brochures/401871001.pdf</x:v>
      </x:c>
      <x:c r="N37" s="16" t="str">
        <x:v>2026-07-24</x:v>
      </x:c>
    </x:row>
    <x:row r="38">
      <x:c r="A38" s="16" t="str">
        <x:v>Airway therapy</x:v>
      </x:c>
      <x:c r="B38" s="16" t="str">
        <x:v>Silicone stents</x:v>
      </x:c>
      <x:c r="C38" s="16" t="str">
        <x:v>NOVATECH</x:v>
      </x:c>
      <x:c r="D38" s="16" t="str">
        <x:v>Original DUMON Silicone Airway Stents</x:v>
      </x:c>
      <x:c r="E38" s="16" t="str">
        <x:v>Catalog PDF</x:v>
      </x:c>
      <x:c r="F38" s="16" t="str">
        <x:v>Disposable implant plus reusable instruments</x:v>
      </x:c>
      <x:c r="G38" s="16" t="str">
        <x:v>Benign/malignant airway stenosis and fistula management</x:v>
      </x:c>
      <x:c r="H38" s="16" t="str">
        <x:v>Global; U.S. distribution/availability must be verified</x:v>
      </x:c>
      <x:c r="I38" s="16" t="str">
        <x:v>2023 web publication</x:v>
      </x:c>
      <x:c r="J38" s="16" t="str">
        <x:v>Yes</x:v>
      </x:c>
      <x:c r="K38" s="16" t="str">
        <x:v>1-Core</x:v>
      </x:c>
      <x:c r="L38" s="16" t="str">
        <x:v>Primary DUMON catalog; verify U.S. labeling and distributor.</x:v>
      </x:c>
      <x:c r="M38" s="16" t="str">
        <x:v>https://novatech.fr/fileadmin/user_upload/ELO-Sync_Kataloge/NOV/EN/NOV-MR-PCA-SST_DUMON-GSS_CA001_EN.pdf</x:v>
      </x:c>
      <x:c r="N38" s="16" t="str">
        <x:v>2026-07-24</x:v>
      </x:c>
    </x:row>
    <x:row r="39">
      <x:c r="A39" s="16" t="str">
        <x:v>Airway therapy</x:v>
      </x:c>
      <x:c r="B39" s="16" t="str">
        <x:v>Endobronchial valves</x:v>
      </x:c>
      <x:c r="C39" s="16" t="str">
        <x:v>Pulmonx</x:v>
      </x:c>
      <x:c r="D39" s="16" t="str">
        <x:v>Zephyr Valve U.S. Patient/Professional Brochure</x:v>
      </x:c>
      <x:c r="E39" s="16" t="str">
        <x:v>Portfolio brochure PDF</x:v>
      </x:c>
      <x:c r="F39" s="16" t="str">
        <x:v>Both</x:v>
      </x:c>
      <x:c r="G39" s="16" t="str">
        <x:v>Bronchoscopic lung volume reduction</x:v>
      </x:c>
      <x:c r="H39" s="16" t="str">
        <x:v>U.S.</x:v>
      </x:c>
      <x:c r="I39" s="16" t="str">
        <x:v>Current product family</x:v>
      </x:c>
      <x:c r="J39" s="16" t="str">
        <x:v>Yes</x:v>
      </x:c>
      <x:c r="K39" s="16" t="str">
        <x:v>1-Core</x:v>
      </x:c>
      <x:c r="L39" s="16" t="str">
        <x:v>Use Pulmonx download center for latest professional labeling and tools.</x:v>
      </x:c>
      <x:c r="M39" s="16" t="str">
        <x:v>https://pulmonx.com/wp-content/uploads/2024/01/Zephyr-Valve-Brochure-US.pdf</x:v>
      </x:c>
      <x:c r="N39" s="16" t="str">
        <x:v>2026-07-24</x:v>
      </x:c>
    </x:row>
    <x:row r="40">
      <x:c r="A40" s="16" t="str">
        <x:v>Airway therapy</x:v>
      </x:c>
      <x:c r="B40" s="16" t="str">
        <x:v>Endobronchial valves</x:v>
      </x:c>
      <x:c r="C40" s="16" t="str">
        <x:v>Pulmonx</x:v>
      </x:c>
      <x:c r="D40" s="16" t="str">
        <x:v>Pulmonx Download Center</x:v>
      </x:c>
      <x:c r="E40" s="16" t="str">
        <x:v>Resource center</x:v>
      </x:c>
      <x:c r="F40" s="16" t="str">
        <x:v>Both</x:v>
      </x:c>
      <x:c r="G40" s="16" t="str">
        <x:v>Zephyr valves, Chartis system and BLVR resources</x:v>
      </x:c>
      <x:c r="H40" s="16" t="str">
        <x:v>U.S./global</x:v>
      </x:c>
      <x:c r="I40" s="16" t="str">
        <x:v>Live</x:v>
      </x:c>
      <x:c r="J40" s="16" t="str">
        <x:v>Yes</x:v>
      </x:c>
      <x:c r="K40" s="16" t="str">
        <x:v>1-Core</x:v>
      </x:c>
      <x:c r="L40" s="16" t="str">
        <x:v>Best source for current brochures, IFUs and patient-selection tools.</x:v>
      </x:c>
      <x:c r="M40" s="16" t="str">
        <x:v>https://pulmonx.com/download-center/</x:v>
      </x:c>
      <x:c r="N40" s="16" t="str">
        <x:v>2026-07-24</x:v>
      </x:c>
    </x:row>
    <x:row r="41">
      <x:c r="A41" s="16" t="str">
        <x:v>Rigid bronchoscopy &amp; thoracoscopy</x:v>
      </x:c>
      <x:c r="B41" s="16" t="str">
        <x:v>Rigid instruments</x:v>
      </x:c>
      <x:c r="C41" s="16" t="str">
        <x:v>NOVATECH</x:v>
      </x:c>
      <x:c r="D41" s="16" t="str">
        <x:v>Instruments for Rigid Bronchoscopy</x:v>
      </x:c>
      <x:c r="E41" s="16" t="str">
        <x:v>Catalog PDF</x:v>
      </x:c>
      <x:c r="F41" s="16" t="str">
        <x:v>Capital/reusable</x:v>
      </x:c>
      <x:c r="G41" s="16" t="str">
        <x:v>Rigid bronchoscope heads/tubes, caps, forceps, suction and stent instruments</x:v>
      </x:c>
      <x:c r="H41" s="16" t="str">
        <x:v>Global; verify U.S.</x:v>
      </x:c>
      <x:c r="I41" s="16" t="str">
        <x:v>2025</x:v>
      </x:c>
      <x:c r="J41" s="16" t="str">
        <x:v>Yes</x:v>
      </x:c>
      <x:c r="K41" s="16" t="str">
        <x:v>1-Core</x:v>
      </x:c>
      <x:c r="L41" s="16" t="str">
        <x:v>Current catalog with sizes and compatibility.</x:v>
      </x:c>
      <x:c r="M41" s="16" t="str">
        <x:v>https://novatech.fr/fileadmin/user_upload/ELO-Sync_Kataloge/NOV/EN/NOV-MR-PCA-Instruments_CA003_EN.pdf</x:v>
      </x:c>
      <x:c r="N41" s="16" t="str">
        <x:v>2026-07-24</x:v>
      </x:c>
    </x:row>
    <x:row r="42">
      <x:c r="A42" s="16" t="str">
        <x:v>Rigid bronchoscopy &amp; thoracoscopy</x:v>
      </x:c>
      <x:c r="B42" s="16" t="str">
        <x:v>Rigid bronchoscopy</x:v>
      </x:c>
      <x:c r="C42" s="16" t="str">
        <x:v>Richard Wolf</x:v>
      </x:c>
      <x:c r="D42" s="16" t="str">
        <x:v>TEXAS Bronchoscope and Thoracic Endoscopy Catalog</x:v>
      </x:c>
      <x:c r="E42" s="16" t="str">
        <x:v>Catalog PDF</x:v>
      </x:c>
      <x:c r="F42" s="16" t="str">
        <x:v>Capital/reusable</x:v>
      </x:c>
      <x:c r="G42" s="16" t="str">
        <x:v>Rigid bronchoscopy and thoracic endoscopy</x:v>
      </x:c>
      <x:c r="H42" s="16" t="str">
        <x:v>Global; U.S. company present</x:v>
      </x:c>
      <x:c r="I42" s="16" t="str">
        <x:v>Current official catalog</x:v>
      </x:c>
      <x:c r="J42" s="16" t="str">
        <x:v>Yes</x:v>
      </x:c>
      <x:c r="K42" s="16" t="str">
        <x:v>1-Core</x:v>
      </x:c>
      <x:c r="L42" s="16" t="str">
        <x:v>Use full thoracic catalog for instruments and configurations.</x:v>
      </x:c>
      <x:c r="M42" s="16" t="str">
        <x:v>https://www.richard-wolf.com/mam/data/Typo3/Kataloge/Broncho-_Thorako-_Mediastinoskopie/Thorakale_Endoskopie_en.pdf</x:v>
      </x:c>
      <x:c r="N42" s="16" t="str">
        <x:v>2026-07-24</x:v>
      </x:c>
    </x:row>
    <x:row r="43">
      <x:c r="A43" s="16" t="str">
        <x:v>Energy &amp; ablation</x:v>
      </x:c>
      <x:c r="B43" s="16" t="str">
        <x:v>Cryotherapy</x:v>
      </x:c>
      <x:c r="C43" s="16" t="str">
        <x:v>ERBE</x:v>
      </x:c>
      <x:c r="D43" s="16" t="str">
        <x:v>ERBECRYO 2 U.S. Brochure</x:v>
      </x:c>
      <x:c r="E43" s="16" t="str">
        <x:v>System brochure PDF</x:v>
      </x:c>
      <x:c r="F43" s="16" t="str">
        <x:v>Both</x:v>
      </x:c>
      <x:c r="G43" s="16" t="str">
        <x:v>Cryobiopsy, cryoextraction, recanalization and devitalization</x:v>
      </x:c>
      <x:c r="H43" s="16" t="str">
        <x:v>U.S.</x:v>
      </x:c>
      <x:c r="I43" s="16" t="str">
        <x:v>Current product family</x:v>
      </x:c>
      <x:c r="J43" s="16" t="str">
        <x:v>Yes</x:v>
      </x:c>
      <x:c r="K43" s="16" t="str">
        <x:v>1-Core</x:v>
      </x:c>
      <x:c r="L43" s="16" t="str">
        <x:v>System, probes and pulmonary applications.</x:v>
      </x:c>
      <x:c r="M43" s="16" t="str">
        <x:v>https://www.erbe-med.com/us-en/products/cryosurgery/erbecryo-2/</x:v>
      </x:c>
      <x:c r="N43" s="16" t="str">
        <x:v>2026-07-24</x:v>
      </x:c>
    </x:row>
    <x:row r="44">
      <x:c r="A44" s="16" t="str">
        <x:v>Energy &amp; ablation</x:v>
      </x:c>
      <x:c r="B44" s="16" t="str">
        <x:v>Cryotherapy</x:v>
      </x:c>
      <x:c r="C44" s="16" t="str">
        <x:v>ERBE</x:v>
      </x:c>
      <x:c r="D44" s="16" t="str">
        <x:v>ERBECRYO 2 with Flexible Single-Use Cryoprobes</x:v>
      </x:c>
      <x:c r="E44" s="16" t="str">
        <x:v>Portfolio brochure PDF</x:v>
      </x:c>
      <x:c r="F44" s="16" t="str">
        <x:v>Both</x:v>
      </x:c>
      <x:c r="G44" s="16" t="str">
        <x:v>Cryobiopsy, clot/mucus/foreign-body extraction and tumor recanalization</x:v>
      </x:c>
      <x:c r="H44" s="16" t="str">
        <x:v>Global/U.S. product family</x:v>
      </x:c>
      <x:c r="I44" s="16" t="str">
        <x:v>Current web-hosted brochure</x:v>
      </x:c>
      <x:c r="J44" s="16" t="str">
        <x:v>Yes</x:v>
      </x:c>
      <x:c r="K44" s="16" t="str">
        <x:v>1-Core</x:v>
      </x:c>
      <x:c r="L44" s="16" t="str">
        <x:v>Includes probe sizes and accessory overview.</x:v>
      </x:c>
      <x:c r="M44" s="16" t="str">
        <x:v>https://register.erbe-med.com/productfinder/Marketingmaterialien/85402-100_ERBE_EN_ERBECRYO_2_with_flexible_cryoprobes__D071400.pdf</x:v>
      </x:c>
      <x:c r="N44" s="16" t="str">
        <x:v>2026-07-24</x:v>
      </x:c>
    </x:row>
    <x:row r="45">
      <x:c r="A45" s="16" t="str">
        <x:v>Energy &amp; ablation</x:v>
      </x:c>
      <x:c r="B45" s="16" t="str">
        <x:v>APC/electrosurgery</x:v>
      </x:c>
      <x:c r="C45" s="16" t="str">
        <x:v>ERBE</x:v>
      </x:c>
      <x:c r="D45" s="16" t="str">
        <x:v>Argon Plasma Coagulation Application Brochure</x:v>
      </x:c>
      <x:c r="E45" s="16" t="str">
        <x:v>Application brochure PDF</x:v>
      </x:c>
      <x:c r="F45" s="16" t="str">
        <x:v>Both</x:v>
      </x:c>
      <x:c r="G45" s="16" t="str">
        <x:v>Airway hemostasis, tumor recanalization, granulation and stenosis treatment</x:v>
      </x:c>
      <x:c r="H45" s="16" t="str">
        <x:v>Global/U.S. product family</x:v>
      </x:c>
      <x:c r="I45" s="16" t="str">
        <x:v>Current brochure family</x:v>
      </x:c>
      <x:c r="J45" s="16" t="str">
        <x:v>Yes</x:v>
      </x:c>
      <x:c r="K45" s="16" t="str">
        <x:v>1-Core</x:v>
      </x:c>
      <x:c r="L45" s="16" t="str">
        <x:v>Use with current VIO/APC equipment ordering guide.</x:v>
      </x:c>
      <x:c r="M45" s="16" t="str">
        <x:v>https://register.erbe-med.com/productfinder/Marketingmaterialien/85100-220_ERBE_EN_APC_Application_brochure__D070950.pdf</x:v>
      </x:c>
      <x:c r="N45" s="16" t="str">
        <x:v>2026-07-24</x:v>
      </x:c>
    </x:row>
    <x:row r="46">
      <x:c r="A46" s="16" t="str">
        <x:v>Energy &amp; ablation</x:v>
      </x:c>
      <x:c r="B46" s="16" t="str">
        <x:v>Microwave ablation</x:v>
      </x:c>
      <x:c r="C46" s="16" t="str">
        <x:v>Medtronic</x:v>
      </x:c>
      <x:c r="D46" s="16" t="str">
        <x:v>Emprint Ablation System Generator</x:v>
      </x:c>
      <x:c r="E46" s="16" t="str">
        <x:v>Product webpage</x:v>
      </x:c>
      <x:c r="F46" s="16" t="str">
        <x:v>Both</x:v>
      </x:c>
      <x:c r="G46" s="16" t="str">
        <x:v>Percutaneous microwave ablation including lung applications</x:v>
      </x:c>
      <x:c r="H46" s="16" t="str">
        <x:v>U.S.</x:v>
      </x:c>
      <x:c r="I46" s="16" t="str">
        <x:v>Live</x:v>
      </x:c>
      <x:c r="J46" s="16" t="str">
        <x:v>Yes</x:v>
      </x:c>
      <x:c r="K46" s="16" t="str">
        <x:v>1-Core</x:v>
      </x:c>
      <x:c r="L46" s="16" t="str">
        <x:v>Gateway to generator, antennas and procedural accessories.</x:v>
      </x:c>
      <x:c r="M46" s="16" t="str">
        <x:v>https://www.medtronic.com/covidien/en-us/products/ablation-systems/emprint-ablation-system.html</x:v>
      </x:c>
      <x:c r="N46" s="16" t="str">
        <x:v>2026-07-24</x:v>
      </x:c>
    </x:row>
    <x:row r="47">
      <x:c r="A47" s="16" t="str">
        <x:v>Energy &amp; ablation</x:v>
      </x:c>
      <x:c r="B47" s="16" t="str">
        <x:v>Spray cryotherapy</x:v>
      </x:c>
      <x:c r="C47" s="16" t="str">
        <x:v>STERIS</x:v>
      </x:c>
      <x:c r="D47" s="16" t="str">
        <x:v>truFreeze Spray Cryotherapy System</x:v>
      </x:c>
      <x:c r="E47" s="16" t="str">
        <x:v>Product webpage</x:v>
      </x:c>
      <x:c r="F47" s="16" t="str">
        <x:v>Both</x:v>
      </x:c>
      <x:c r="G47" s="16" t="str">
        <x:v>Spray cryotherapy for airway and endoscopic applications</x:v>
      </x:c>
      <x:c r="H47" s="16" t="str">
        <x:v>U.S.</x:v>
      </x:c>
      <x:c r="I47" s="16" t="str">
        <x:v>Live</x:v>
      </x:c>
      <x:c r="J47" s="16" t="str">
        <x:v>Yes</x:v>
      </x:c>
      <x:c r="K47" s="16" t="str">
        <x:v>1-Core</x:v>
      </x:c>
      <x:c r="L47" s="16" t="str">
        <x:v>System page; separate catheter SKUs are available through STERIS shop.</x:v>
      </x:c>
      <x:c r="M47" s="16" t="str">
        <x:v>https://www.steris.com/healthcare/products/endoscopy-equipment/trufreeze-spray-cryotherapy</x:v>
      </x:c>
      <x:c r="N47" s="16" t="str">
        <x:v>2026-07-24</x:v>
      </x:c>
    </x:row>
    <x:row r="48">
      <x:c r="A48" s="16" t="str">
        <x:v>Energy &amp; ablation</x:v>
      </x:c>
      <x:c r="B48" s="16" t="str">
        <x:v>Spray cryotherapy</x:v>
      </x:c>
      <x:c r="C48" s="16" t="str">
        <x:v>STERIS</x:v>
      </x:c>
      <x:c r="D48" s="16" t="str">
        <x:v>truFreeze System and Catheters</x:v>
      </x:c>
      <x:c r="E48" s="16" t="str">
        <x:v>Online shop/catalog</x:v>
      </x:c>
      <x:c r="F48" s="16" t="str">
        <x:v>Both</x:v>
      </x:c>
      <x:c r="G48" s="16" t="str">
        <x:v>Console and disposable spray catheters</x:v>
      </x:c>
      <x:c r="H48" s="16" t="str">
        <x:v>U.S.</x:v>
      </x:c>
      <x:c r="I48" s="16" t="str">
        <x:v>Live</x:v>
      </x:c>
      <x:c r="J48" s="16" t="str">
        <x:v>Yes</x:v>
      </x:c>
      <x:c r="K48" s="16" t="str">
        <x:v>1-Core</x:v>
      </x:c>
      <x:c r="L48" s="16" t="str">
        <x:v>Ordering source; access may require account/login.</x:v>
      </x:c>
      <x:c r="M48" s="16" t="str">
        <x:v>https://shop.steris.com/en/us/endoscopy-equipment/trufreeze-spray-cryotherapy-system</x:v>
      </x:c>
      <x:c r="N48" s="16" t="str">
        <x:v>2026-07-24</x:v>
      </x:c>
    </x:row>
    <x:row r="49">
      <x:c r="A49" s="16" t="str">
        <x:v>Pleural procedures</x:v>
      </x:c>
      <x:c r="B49" s="16" t="str">
        <x:v>Indwelling pleural catheter</x:v>
      </x:c>
      <x:c r="C49" s="16" t="str">
        <x:v>BD</x:v>
      </x:c>
      <x:c r="D49" s="16" t="str">
        <x:v>PleurX Drainage Catheter System</x:v>
      </x:c>
      <x:c r="E49" s="16" t="str">
        <x:v>Product webpage</x:v>
      </x:c>
      <x:c r="F49" s="16" t="str">
        <x:v>Disposable</x:v>
      </x:c>
      <x:c r="G49" s="16" t="str">
        <x:v>Indwelling pleural catheter placement and home drainage</x:v>
      </x:c>
      <x:c r="H49" s="16" t="str">
        <x:v>U.S.</x:v>
      </x:c>
      <x:c r="I49" s="16" t="str">
        <x:v>Live</x:v>
      </x:c>
      <x:c r="J49" s="16" t="str">
        <x:v>Yes</x:v>
      </x:c>
      <x:c r="K49" s="16" t="str">
        <x:v>1-Core</x:v>
      </x:c>
      <x:c r="L49" s="16" t="str">
        <x:v>Current product gateway; obtain U.S. ordering guide from BD.</x:v>
      </x:c>
      <x:c r="M49" s="16" t="str">
        <x:v>https://www.bd.com/en-us/products-and-solutions/products/product-families/pleurx-drainage-catheter-system</x:v>
      </x:c>
      <x:c r="N49" s="16" t="str">
        <x:v>2026-07-24</x:v>
      </x:c>
    </x:row>
    <x:row r="50">
      <x:c r="A50" s="16" t="str">
        <x:v>Pleural procedures</x:v>
      </x:c>
      <x:c r="B50" s="16" t="str">
        <x:v>Indwelling pleural catheter</x:v>
      </x:c>
      <x:c r="C50" s="16" t="str">
        <x:v>BD</x:v>
      </x:c>
      <x:c r="D50" s="16" t="str">
        <x:v>PleurX Catheter Tray Components</x:v>
      </x:c>
      <x:c r="E50" s="16" t="str">
        <x:v>Component guide PDF</x:v>
      </x:c>
      <x:c r="F50" s="16" t="str">
        <x:v>Disposable</x:v>
      </x:c>
      <x:c r="G50" s="16" t="str">
        <x:v>IPC insertion tray and component identification</x:v>
      </x:c>
      <x:c r="H50" s="16" t="str">
        <x:v>U.S.</x:v>
      </x:c>
      <x:c r="I50" s="16" t="str">
        <x:v>Current product family</x:v>
      </x:c>
      <x:c r="J50" s="16" t="str">
        <x:v>Yes</x:v>
      </x:c>
      <x:c r="K50" s="16" t="str">
        <x:v>1-Core</x:v>
      </x:c>
      <x:c r="L50" s="16" t="str">
        <x:v>Useful kit-content reference.</x:v>
      </x:c>
      <x:c r="M50" s="16" t="str">
        <x:v>https://www.bd.com/content/dam/bd-assets/na/medication-management-solutions/documents/brochure/pleurx-catheter-tray-components.pdf</x:v>
      </x:c>
      <x:c r="N50" s="16" t="str">
        <x:v>2026-07-24</x:v>
      </x:c>
    </x:row>
    <x:row r="51">
      <x:c r="A51" s="16" t="str">
        <x:v>Pleural procedures</x:v>
      </x:c>
      <x:c r="B51" s="16" t="str">
        <x:v>Indwelling pleural catheter</x:v>
      </x:c>
      <x:c r="C51" s="16" t="str">
        <x:v>Merit Medical</x:v>
      </x:c>
      <x:c r="D51" s="16" t="str">
        <x:v>Aspira Drainage System Brochure</x:v>
      </x:c>
      <x:c r="E51" s="16" t="str">
        <x:v>Portfolio brochure PDF</x:v>
      </x:c>
      <x:c r="F51" s="16" t="str">
        <x:v>Disposable</x:v>
      </x:c>
      <x:c r="G51" s="16" t="str">
        <x:v>Indwelling pleural/peritoneal drainage, bag and bottle options</x:v>
      </x:c>
      <x:c r="H51" s="16" t="str">
        <x:v>U.S.</x:v>
      </x:c>
      <x:c r="I51" s="16" t="str">
        <x:v>Current product family</x:v>
      </x:c>
      <x:c r="J51" s="16" t="str">
        <x:v>Yes</x:v>
      </x:c>
      <x:c r="K51" s="16" t="str">
        <x:v>1-Core</x:v>
      </x:c>
      <x:c r="L51" s="16" t="str">
        <x:v>Includes system components and ordering information.</x:v>
      </x:c>
      <x:c r="M51" s="16" t="str">
        <x:v>https://cloud.merit.com/catalog/Brochures/401150001.pdf</x:v>
      </x:c>
      <x:c r="N51" s="16" t="str">
        <x:v>2026-07-24</x:v>
      </x:c>
    </x:row>
    <x:row r="52">
      <x:c r="A52" s="16" t="str">
        <x:v>Pleural procedures</x:v>
      </x:c>
      <x:c r="B52" s="16" t="str">
        <x:v>Indwelling pleural catheter</x:v>
      </x:c>
      <x:c r="C52" s="16" t="str">
        <x:v>Merit Medical</x:v>
      </x:c>
      <x:c r="D52" s="16" t="str">
        <x:v>Aspira Drainage System</x:v>
      </x:c>
      <x:c r="E52" s="16" t="str">
        <x:v>Product webpage</x:v>
      </x:c>
      <x:c r="F52" s="16" t="str">
        <x:v>Disposable</x:v>
      </x:c>
      <x:c r="G52" s="16" t="str">
        <x:v>IPC placement and outpatient drainage</x:v>
      </x:c>
      <x:c r="H52" s="16" t="str">
        <x:v>U.S.</x:v>
      </x:c>
      <x:c r="I52" s="16" t="str">
        <x:v>Live</x:v>
      </x:c>
      <x:c r="J52" s="16" t="str">
        <x:v>Yes</x:v>
      </x:c>
      <x:c r="K52" s="16" t="str">
        <x:v>1-Core</x:v>
      </x:c>
      <x:c r="L52" s="16" t="str">
        <x:v>Current product and clinical-resource gateway.</x:v>
      </x:c>
      <x:c r="M52" s="16" t="str">
        <x:v>https://www.merit.com/product/aspira-drainage-system/</x:v>
      </x:c>
      <x:c r="N52" s="16" t="str">
        <x:v>2026-07-24</x:v>
      </x:c>
    </x:row>
    <x:row r="53">
      <x:c r="A53" s="16" t="str">
        <x:v>Pleural procedures</x:v>
      </x:c>
      <x:c r="B53" s="16" t="str">
        <x:v>Indwelling pleural catheter</x:v>
      </x:c>
      <x:c r="C53" s="16" t="str">
        <x:v>Rocket Medical</x:v>
      </x:c>
      <x:c r="D53" s="16" t="str">
        <x:v>Rocket IPC Portfolio</x:v>
      </x:c>
      <x:c r="E53" s="16" t="str">
        <x:v>Product webpage</x:v>
      </x:c>
      <x:c r="F53" s="16" t="str">
        <x:v>Disposable</x:v>
      </x:c>
      <x:c r="G53" s="16" t="str">
        <x:v>IPC insertion, drainage and home management</x:v>
      </x:c>
      <x:c r="H53" s="16" t="str">
        <x:v>U.S.</x:v>
      </x:c>
      <x:c r="I53" s="16" t="str">
        <x:v>Live</x:v>
      </x:c>
      <x:c r="J53" s="16" t="str">
        <x:v>Yes</x:v>
      </x:c>
      <x:c r="K53" s="16" t="str">
        <x:v>1-Core</x:v>
      </x:c>
      <x:c r="L53" s="16" t="str">
        <x:v>Current U.S. portfolio and support gateway.</x:v>
      </x:c>
      <x:c r="M53" s="16" t="str">
        <x:v>https://rocketmedical.com/usa/product/rocket-indwelling-pleural-catheter/</x:v>
      </x:c>
      <x:c r="N53" s="16" t="str">
        <x:v>2026-07-24</x:v>
      </x:c>
    </x:row>
    <x:row r="54">
      <x:c r="A54" s="16" t="str">
        <x:v>Pleural procedures</x:v>
      </x:c>
      <x:c r="B54" s="16" t="str">
        <x:v>Pneumothorax drainage</x:v>
      </x:c>
      <x:c r="C54" s="16" t="str">
        <x:v>Cook Medical</x:v>
      </x:c>
      <x:c r="D54" s="16" t="str">
        <x:v>Wayne Pneumothorax Catheter Set</x:v>
      </x:c>
      <x:c r="E54" s="16" t="str">
        <x:v>Product webpage</x:v>
      </x:c>
      <x:c r="F54" s="16" t="str">
        <x:v>Disposable</x:v>
      </x:c>
      <x:c r="G54" s="16" t="str">
        <x:v>Small-bore pneumothorax drainage</x:v>
      </x:c>
      <x:c r="H54" s="16" t="str">
        <x:v>U.S.</x:v>
      </x:c>
      <x:c r="I54" s="16" t="str">
        <x:v>Live</x:v>
      </x:c>
      <x:c r="J54" s="16" t="str">
        <x:v>Yes</x:v>
      </x:c>
      <x:c r="K54" s="16" t="str">
        <x:v>1-Core</x:v>
      </x:c>
      <x:c r="L54" s="16" t="str">
        <x:v>Specifications and set components.</x:v>
      </x:c>
      <x:c r="M54" s="16" t="str">
        <x:v>https://www.cookmedical.com/products/cc_wayne_webds/</x:v>
      </x:c>
      <x:c r="N54" s="16" t="str">
        <x:v>2026-07-24</x:v>
      </x:c>
    </x:row>
    <x:row r="55">
      <x:c r="A55" s="16" t="str">
        <x:v>Pleural procedures</x:v>
      </x:c>
      <x:c r="B55" s="16" t="str">
        <x:v>Pleural drainage</x:v>
      </x:c>
      <x:c r="C55" s="16" t="str">
        <x:v>Cook Medical</x:v>
      </x:c>
      <x:c r="D55" s="16" t="str">
        <x:v>Fuhrman Pleural/Pneumopericardial Drainage Set</x:v>
      </x:c>
      <x:c r="E55" s="16" t="str">
        <x:v>Product webpage</x:v>
      </x:c>
      <x:c r="F55" s="16" t="str">
        <x:v>Disposable</x:v>
      </x:c>
      <x:c r="G55" s="16" t="str">
        <x:v>Pleural and pneumopericardial drainage</x:v>
      </x:c>
      <x:c r="H55" s="16" t="str">
        <x:v>U.S.</x:v>
      </x:c>
      <x:c r="I55" s="16" t="str">
        <x:v>Live</x:v>
      </x:c>
      <x:c r="J55" s="16" t="str">
        <x:v>Yes</x:v>
      </x:c>
      <x:c r="K55" s="16" t="str">
        <x:v>1-Core</x:v>
      </x:c>
      <x:c r="L55" s="16" t="str">
        <x:v>Specifications and set components.</x:v>
      </x:c>
      <x:c r="M55" s="16" t="str">
        <x:v>https://www.cookmedical.com/products/cc_fuhrman_webds/</x:v>
      </x:c>
      <x:c r="N55" s="16" t="str">
        <x:v>2026-07-24</x:v>
      </x:c>
    </x:row>
    <x:row r="56">
      <x:c r="A56" s="16" t="str">
        <x:v>Pleural procedures</x:v>
      </x:c>
      <x:c r="B56" s="16" t="str">
        <x:v>Chest tube</x:v>
      </x:c>
      <x:c r="C56" s="16" t="str">
        <x:v>Cook Medical</x:v>
      </x:c>
      <x:c r="D56" s="16" t="str">
        <x:v>Thal-Quick Chest Tube Set</x:v>
      </x:c>
      <x:c r="E56" s="16" t="str">
        <x:v>Product webpage</x:v>
      </x:c>
      <x:c r="F56" s="16" t="str">
        <x:v>Disposable</x:v>
      </x:c>
      <x:c r="G56" s="16" t="str">
        <x:v>Percutaneous chest tube placement</x:v>
      </x:c>
      <x:c r="H56" s="16" t="str">
        <x:v>U.S.</x:v>
      </x:c>
      <x:c r="I56" s="16" t="str">
        <x:v>Live</x:v>
      </x:c>
      <x:c r="J56" s="16" t="str">
        <x:v>Yes</x:v>
      </x:c>
      <x:c r="K56" s="16" t="str">
        <x:v>1-Core</x:v>
      </x:c>
      <x:c r="L56" s="16" t="str">
        <x:v>Specifications and set components.</x:v>
      </x:c>
      <x:c r="M56" s="16" t="str">
        <x:v>https://www.cookmedical.com/products/cc_thalquick_webds/</x:v>
      </x:c>
      <x:c r="N56" s="16" t="str">
        <x:v>2026-07-24</x:v>
      </x:c>
    </x:row>
    <x:row r="57">
      <x:c r="A57" s="16" t="str">
        <x:v>Pleural procedures</x:v>
      </x:c>
      <x:c r="B57" s="16" t="str">
        <x:v>Thoracentesis/drainage</x:v>
      </x:c>
      <x:c r="C57" s="16" t="str">
        <x:v>Teleflex</x:v>
      </x:c>
      <x:c r="D57" s="16" t="str">
        <x:v>Arrow Diagnostic and Drainage Products</x:v>
      </x:c>
      <x:c r="E57" s="16" t="str">
        <x:v>Portfolio brochure PDF</x:v>
      </x:c>
      <x:c r="F57" s="16" t="str">
        <x:v>Disposable</x:v>
      </x:c>
      <x:c r="G57" s="16" t="str">
        <x:v>Thoracentesis and drainage catheter systems</x:v>
      </x:c>
      <x:c r="H57" s="16" t="str">
        <x:v>U.S.</x:v>
      </x:c>
      <x:c r="I57" s="16" t="str">
        <x:v>Current</x:v>
      </x:c>
      <x:c r="J57" s="16" t="str">
        <x:v>Yes</x:v>
      </x:c>
      <x:c r="K57" s="16" t="str">
        <x:v>1-Core</x:v>
      </x:c>
      <x:c r="L57" s="16" t="str">
        <x:v>Includes Arrow-Clarke thoracentesis catheter and related products.</x:v>
      </x:c>
      <x:c r="M57" s="16" t="str">
        <x:v>https://www.teleflex.com/usa/en/product-areas/interventional/drainage/arrow-diagnostic-drainage-products/MC-006078_Interventional_DND_Product_Line_Brochure_Final.pdf</x:v>
      </x:c>
      <x:c r="N57" s="16" t="str">
        <x:v>2026-07-24</x:v>
      </x:c>
    </x:row>
    <x:row r="58">
      <x:c r="A58" s="16" t="str">
        <x:v>Chest drainage</x:v>
      </x:c>
      <x:c r="B58" s="16" t="str">
        <x:v>Analog chest drainage</x:v>
      </x:c>
      <x:c r="C58" s="16" t="str">
        <x:v>Getinge / Atrium</x:v>
      </x:c>
      <x:c r="D58" s="16" t="str">
        <x:v>Atrium Oasis Dry Suction Water Seal Chest Drain</x:v>
      </x:c>
      <x:c r="E58" s="16" t="str">
        <x:v>Product webpage</x:v>
      </x:c>
      <x:c r="F58" s="16" t="str">
        <x:v>Disposable</x:v>
      </x:c>
      <x:c r="G58" s="16" t="str">
        <x:v>Post-procedure chest drainage and air-leak monitoring</x:v>
      </x:c>
      <x:c r="H58" s="16" t="str">
        <x:v>U.S.</x:v>
      </x:c>
      <x:c r="I58" s="16" t="str">
        <x:v>Live</x:v>
      </x:c>
      <x:c r="J58" s="16" t="str">
        <x:v>Yes</x:v>
      </x:c>
      <x:c r="K58" s="16" t="str">
        <x:v>1-Core</x:v>
      </x:c>
      <x:c r="L58" s="16" t="str">
        <x:v>Ordering and educational resources are linked.</x:v>
      </x:c>
      <x:c r="M58" s="16" t="str">
        <x:v>https://www.getinge.com/int/products/atrium-oasis-dry-suction-water-seal-chest-drain/</x:v>
      </x:c>
      <x:c r="N58" s="16" t="str">
        <x:v>2026-07-24</x:v>
      </x:c>
    </x:row>
    <x:row r="59">
      <x:c r="A59" s="16" t="str">
        <x:v>Chest drainage</x:v>
      </x:c>
      <x:c r="B59" s="16" t="str">
        <x:v>Digital chest drainage</x:v>
      </x:c>
      <x:c r="C59" s="16" t="str">
        <x:v>Medela</x:v>
      </x:c>
      <x:c r="D59" s="16" t="str">
        <x:v>Thopaz+ Digital Chest Drainage System</x:v>
      </x:c>
      <x:c r="E59" s="16" t="str">
        <x:v>Product webpage</x:v>
      </x:c>
      <x:c r="F59" s="16" t="str">
        <x:v>Both</x:v>
      </x:c>
      <x:c r="G59" s="16" t="str">
        <x:v>Digital air-leak, fluid and pressure monitoring after thoracic interventions</x:v>
      </x:c>
      <x:c r="H59" s="16" t="str">
        <x:v>U.S.</x:v>
      </x:c>
      <x:c r="I59" s="16" t="str">
        <x:v>Live</x:v>
      </x:c>
      <x:c r="J59" s="16" t="str">
        <x:v>Yes</x:v>
      </x:c>
      <x:c r="K59" s="16" t="str">
        <x:v>1-Core</x:v>
      </x:c>
      <x:c r="L59" s="16" t="str">
        <x:v>Capital pump plus disposable canisters/tubing; request U.S. ordering guide.</x:v>
      </x:c>
      <x:c r="M59" s="16" t="str">
        <x:v>https://www.medela.com/en-us/surgical-woundcare/solutions/chest-drainage/thopaz-digital-chest-drainage-and-monitoring-system-for-use-after-thoracic-surgery-and-interventions</x:v>
      </x:c>
      <x:c r="N59" s="16" t="str">
        <x:v>2026-07-24</x:v>
      </x:c>
    </x:row>
    <x:row r="60">
      <x:c r="A60" s="16" t="str">
        <x:v>Tracheostomy</x:v>
      </x:c>
      <x:c r="B60" s="16" t="str">
        <x:v>Tracheostomy tubes</x:v>
      </x:c>
      <x:c r="C60" s="16" t="str">
        <x:v>Medtronic</x:v>
      </x:c>
      <x:c r="D60" s="16" t="str">
        <x:v>Shiley Tracheostomy Products Quick Reference Guide</x:v>
      </x:c>
      <x:c r="E60" s="16" t="str">
        <x:v>Quick reference PDF</x:v>
      </x:c>
      <x:c r="F60" s="16" t="str">
        <x:v>Disposable/reusable components</x:v>
      </x:c>
      <x:c r="G60" s="16" t="str">
        <x:v>Adult and pediatric tracheostomy tubes and accessories</x:v>
      </x:c>
      <x:c r="H60" s="16" t="str">
        <x:v>U.S.</x:v>
      </x:c>
      <x:c r="I60" s="16" t="str">
        <x:v>Current product family</x:v>
      </x:c>
      <x:c r="J60" s="16" t="str">
        <x:v>Yes</x:v>
      </x:c>
      <x:c r="K60" s="16" t="str">
        <x:v>1-Core</x:v>
      </x:c>
      <x:c r="L60" s="16" t="str">
        <x:v>High-yield size and configuration reference.</x:v>
      </x:c>
      <x:c r="M60" s="16" t="str">
        <x:v>https://www.medtronic.com/content/dam/covidien/library/us/en/product/tracheostomy/shiley-tracheostomy-products-quick-reference-guide.pdf</x:v>
      </x:c>
      <x:c r="N60" s="16" t="str">
        <x:v>2026-07-24</x:v>
      </x:c>
    </x:row>
    <x:row r="61">
      <x:c r="A61" s="16" t="str">
        <x:v>Tracheostomy</x:v>
      </x:c>
      <x:c r="B61" s="16" t="str">
        <x:v>Tracheostomy tubes</x:v>
      </x:c>
      <x:c r="C61" s="16" t="str">
        <x:v>Medtronic</x:v>
      </x:c>
      <x:c r="D61" s="16" t="str">
        <x:v>Shiley Tracheostomy Product Guide</x:v>
      </x:c>
      <x:c r="E61" s="16" t="str">
        <x:v>Product guide PDF</x:v>
      </x:c>
      <x:c r="F61" s="16" t="str">
        <x:v>Disposable/reusable components</x:v>
      </x:c>
      <x:c r="G61" s="16" t="str">
        <x:v>Tracheostomy tubes, inner cannulas and accessories</x:v>
      </x:c>
      <x:c r="H61" s="16" t="str">
        <x:v>U.S.</x:v>
      </x:c>
      <x:c r="I61" s="16" t="str">
        <x:v>Current product family</x:v>
      </x:c>
      <x:c r="J61" s="16" t="str">
        <x:v>Yes</x:v>
      </x:c>
      <x:c r="K61" s="16" t="str">
        <x:v>1-Core</x:v>
      </x:c>
      <x:c r="L61" s="16" t="str">
        <x:v>Broader product guide than the quick-reference sheet.</x:v>
      </x:c>
      <x:c r="M61" s="16" t="str">
        <x:v>https://www.medtronic.com/content/dam/covidien/library/us/en/product/tracheostomy/shiley-tracheostomy-product-guide.pdf</x:v>
      </x:c>
      <x:c r="N61" s="16" t="str">
        <x:v>2026-07-24</x:v>
      </x:c>
    </x:row>
    <x:row r="62">
      <x:c r="A62" s="16" t="str">
        <x:v>Tracheostomy</x:v>
      </x:c>
      <x:c r="B62" s="16" t="str">
        <x:v>Tracheostomy tubes</x:v>
      </x:c>
      <x:c r="C62" s="16" t="str">
        <x:v>ICU Medical</x:v>
      </x:c>
      <x:c r="D62" s="16" t="str">
        <x:v>Portex BLUselect Tracheostomy Tubes</x:v>
      </x:c>
      <x:c r="E62" s="16" t="str">
        <x:v>Product webpage</x:v>
      </x:c>
      <x:c r="F62" s="16" t="str">
        <x:v>Disposable</x:v>
      </x:c>
      <x:c r="G62" s="16" t="str">
        <x:v>Adult tracheostomy tubes and accessories</x:v>
      </x:c>
      <x:c r="H62" s="16" t="str">
        <x:v>U.S.</x:v>
      </x:c>
      <x:c r="I62" s="16" t="str">
        <x:v>Live</x:v>
      </x:c>
      <x:c r="J62" s="16" t="str">
        <x:v>Yes</x:v>
      </x:c>
      <x:c r="K62" s="16" t="str">
        <x:v>1-Core</x:v>
      </x:c>
      <x:c r="L62" s="16" t="str">
        <x:v>Includes ordering information.</x:v>
      </x:c>
      <x:c r="M62" s="16" t="str">
        <x:v>https://www.icumed.com/products/airway-management/tracheostomy/portex-bluselect-tracheostomy-tubes/</x:v>
      </x:c>
      <x:c r="N62" s="16" t="str">
        <x:v>2026-07-24</x:v>
      </x:c>
    </x:row>
    <x:row r="63">
      <x:c r="A63" s="16" t="str">
        <x:v>Tracheostomy</x:v>
      </x:c>
      <x:c r="B63" s="16" t="str">
        <x:v>Percutaneous tracheostomy</x:v>
      </x:c>
      <x:c r="C63" s="16" t="str">
        <x:v>ICU Medical</x:v>
      </x:c>
      <x:c r="D63" s="16" t="str">
        <x:v>BLUperc and BLUgriggs Percutaneous Tracheostomy Kits</x:v>
      </x:c>
      <x:c r="E63" s="16" t="str">
        <x:v>Product webpage</x:v>
      </x:c>
      <x:c r="F63" s="16" t="str">
        <x:v>Disposable</x:v>
      </x:c>
      <x:c r="G63" s="16" t="str">
        <x:v>Percutaneous dilational tracheostomy</x:v>
      </x:c>
      <x:c r="H63" s="16" t="str">
        <x:v>U.S.</x:v>
      </x:c>
      <x:c r="I63" s="16" t="str">
        <x:v>Live</x:v>
      </x:c>
      <x:c r="J63" s="16" t="str">
        <x:v>Yes</x:v>
      </x:c>
      <x:c r="K63" s="16" t="str">
        <x:v>1-Core</x:v>
      </x:c>
      <x:c r="L63" s="16" t="str">
        <x:v>Kit variants and components.</x:v>
      </x:c>
      <x:c r="M63" s="16" t="str">
        <x:v>https://www.icumed.com/products/airway-management/tracheostomy/percutaneous-tracheostomy-kits/</x:v>
      </x:c>
      <x:c r="N63" s="16" t="str">
        <x:v>2026-07-24</x:v>
      </x:c>
    </x:row>
    <x:row r="64">
      <x:c r="A64" s="16" t="str">
        <x:v>Reprocessing</x:v>
      </x:c>
      <x:c r="B64" s="16" t="str">
        <x:v>Automated endoscope reprocessor</x:v>
      </x:c>
      <x:c r="C64" s="16" t="str">
        <x:v>Olympus</x:v>
      </x:c>
      <x:c r="D64" s="16" t="str">
        <x:v>OER-Elite Endoscope Reprocessor</x:v>
      </x:c>
      <x:c r="E64" s="16" t="str">
        <x:v>Product webpage</x:v>
      </x:c>
      <x:c r="F64" s="16" t="str">
        <x:v>Capital plus consumables</x:v>
      </x:c>
      <x:c r="G64" s="16" t="str">
        <x:v>High-level disinfection of compatible endoscopes</x:v>
      </x:c>
      <x:c r="H64" s="16" t="str">
        <x:v>U.S.</x:v>
      </x:c>
      <x:c r="I64" s="16" t="str">
        <x:v>Live</x:v>
      </x:c>
      <x:c r="J64" s="16" t="str">
        <x:v>Yes</x:v>
      </x:c>
      <x:c r="K64" s="16" t="str">
        <x:v>1-Core</x:v>
      </x:c>
      <x:c r="L64" s="16" t="str">
        <x:v>Confirm bronchoscope compatibility by exact model.</x:v>
      </x:c>
      <x:c r="M64" s="16" t="str">
        <x:v>https://medical.olympusamerica.com/products/oer-elite</x:v>
      </x:c>
      <x:c r="N64" s="16" t="str">
        <x:v>2026-07-24</x:v>
      </x:c>
    </x:row>
    <x:row r="65">
      <x:c r="A65" s="16" t="str">
        <x:v>Reprocessing</x:v>
      </x:c>
      <x:c r="B65" s="16" t="str">
        <x:v>Disinfectant</x:v>
      </x:c>
      <x:c r="C65" s="16" t="str">
        <x:v>Olympus</x:v>
      </x:c>
      <x:c r="D65" s="16" t="str">
        <x:v>Acecide-C High-Level Disinfectant Brochure</x:v>
      </x:c>
      <x:c r="E65" s="16" t="str">
        <x:v>Product brochure PDF</x:v>
      </x:c>
      <x:c r="F65" s="16" t="str">
        <x:v>Consumable</x:v>
      </x:c>
      <x:c r="G65" s="16" t="str">
        <x:v>AER chemistry for compatible endoscopes</x:v>
      </x:c>
      <x:c r="H65" s="16" t="str">
        <x:v>U.S.</x:v>
      </x:c>
      <x:c r="I65" s="16" t="str">
        <x:v>Current product family</x:v>
      </x:c>
      <x:c r="J65" s="16" t="str">
        <x:v>Yes</x:v>
      </x:c>
      <x:c r="K65" s="16" t="str">
        <x:v>1-Core</x:v>
      </x:c>
      <x:c r="L65" s="16" t="str">
        <x:v>Use only with compatible reprocessor and current labeling.</x:v>
      </x:c>
      <x:c r="M65" s="16" t="str">
        <x:v>https://medical.olympusamerica.com/sites/default/files/us/files/pdf/Acecide-C-Brochure.pdf</x:v>
      </x:c>
      <x:c r="N65" s="16" t="str">
        <x:v>2026-07-24</x:v>
      </x:c>
    </x:row>
    <x:row r="66">
      <x:c r="A66" s="16" t="str">
        <x:v>Reprocessing</x:v>
      </x:c>
      <x:c r="B66" s="16" t="str">
        <x:v>Endoscopy suite</x:v>
      </x:c>
      <x:c r="C66" s="16" t="str">
        <x:v>STERIS</x:v>
      </x:c>
      <x:c r="D66" s="16" t="str">
        <x:v>Endoscopy Suite Portfolio</x:v>
      </x:c>
      <x:c r="E66" s="16" t="str">
        <x:v>Portfolio webpage</x:v>
      </x:c>
      <x:c r="F66" s="16" t="str">
        <x:v>Both</x:v>
      </x:c>
      <x:c r="G66" s="16" t="str">
        <x:v>Reprocessing, drying/storage, endoscopy equipment and consumables</x:v>
      </x:c>
      <x:c r="H66" s="16" t="str">
        <x:v>U.S.</x:v>
      </x:c>
      <x:c r="I66" s="16" t="str">
        <x:v>Live</x:v>
      </x:c>
      <x:c r="J66" s="16" t="str">
        <x:v>Yes</x:v>
      </x:c>
      <x:c r="K66" s="16" t="str">
        <x:v>1-Core</x:v>
      </x:c>
      <x:c r="L66" s="16" t="str">
        <x:v>Master STERIS endoscopy portfolio gateway.</x:v>
      </x:c>
      <x:c r="M66" s="16" t="str">
        <x:v>https://www.steris.com/healthcare/solutions/endoscopy-suite</x:v>
      </x:c>
      <x:c r="N66" s="16" t="str">
        <x:v>2026-07-24</x:v>
      </x:c>
    </x:row>
    <x:row r="67">
      <x:c r="A67" s="16" t="str">
        <x:v>Reprocessing</x:v>
      </x:c>
      <x:c r="B67" s="16" t="str">
        <x:v>Drying/storage</x:v>
      </x:c>
      <x:c r="C67" s="16" t="str">
        <x:v>STERIS</x:v>
      </x:c>
      <x:c r="D67" s="16" t="str">
        <x:v>ENDODRY Drying and Storage System</x:v>
      </x:c>
      <x:c r="E67" s="16" t="str">
        <x:v>Product webpage</x:v>
      </x:c>
      <x:c r="F67" s="16" t="str">
        <x:v>Capital</x:v>
      </x:c>
      <x:c r="G67" s="16" t="str">
        <x:v>Endoscope drying and storage</x:v>
      </x:c>
      <x:c r="H67" s="16" t="str">
        <x:v>U.S.</x:v>
      </x:c>
      <x:c r="I67" s="16" t="str">
        <x:v>Live</x:v>
      </x:c>
      <x:c r="J67" s="16" t="str">
        <x:v>Yes</x:v>
      </x:c>
      <x:c r="K67" s="16" t="str">
        <x:v>1-Core</x:v>
      </x:c>
      <x:c r="L67" s="16" t="str">
        <x:v>Confirm bronchoscope channel-connectivity configuration.</x:v>
      </x:c>
      <x:c r="M67" s="16" t="str">
        <x:v>https://www.steris.com/healthcare/products/endoscope-drying-and-storage/endodry-drying-and-storage-system</x:v>
      </x:c>
      <x:c r="N67" s="16" t="str">
        <x:v>2026-07-24</x:v>
      </x:c>
    </x:row>
    <x:row r="68">
      <x:c r="A68" s="16" t="str">
        <x:v>Reprocessing</x:v>
      </x:c>
      <x:c r="B68" s="16" t="str">
        <x:v>High-level disinfection</x:v>
      </x:c>
      <x:c r="C68" s="16" t="str">
        <x:v>ASP</x:v>
      </x:c>
      <x:c r="D68" s="16" t="str">
        <x:v>High-Level Disinfection Portfolio</x:v>
      </x:c>
      <x:c r="E68" s="16" t="str">
        <x:v>Portfolio webpage</x:v>
      </x:c>
      <x:c r="F68" s="16" t="str">
        <x:v>Both</x:v>
      </x:c>
      <x:c r="G68" s="16" t="str">
        <x:v>EVOTECH, AEROFLEX, detergents and biocides</x:v>
      </x:c>
      <x:c r="H68" s="16" t="str">
        <x:v>U.S.</x:v>
      </x:c>
      <x:c r="I68" s="16" t="str">
        <x:v>Live</x:v>
      </x:c>
      <x:c r="J68" s="16" t="str">
        <x:v>Yes</x:v>
      </x:c>
      <x:c r="K68" s="16" t="str">
        <x:v>1-Core</x:v>
      </x:c>
      <x:c r="L68" s="16" t="str">
        <x:v>Master ASP endoscope-reprocessing portfolio.</x:v>
      </x:c>
      <x:c r="M68" s="16" t="str">
        <x:v>https://www.asp.com/en-us/products/high-level-disinfection</x:v>
      </x:c>
      <x:c r="N68" s="16" t="str">
        <x:v>2026-07-24</x:v>
      </x:c>
    </x:row>
    <x:row r="69">
      <x:c r="A69" s="16" t="str">
        <x:v>Reprocessing</x:v>
      </x:c>
      <x:c r="B69" s="16" t="str">
        <x:v>Automated endoscope reprocessor</x:v>
      </x:c>
      <x:c r="C69" s="16" t="str">
        <x:v>ASP</x:v>
      </x:c>
      <x:c r="D69" s="16" t="str">
        <x:v>AEROFLEX Automated Endoscope Reprocessor Data Sheet</x:v>
      </x:c>
      <x:c r="E69" s="16" t="str">
        <x:v>Data sheet PDF</x:v>
      </x:c>
      <x:c r="F69" s="16" t="str">
        <x:v>Capital plus consumables</x:v>
      </x:c>
      <x:c r="G69" s="16" t="str">
        <x:v>High-level disinfection of compatible flexible endoscopes</x:v>
      </x:c>
      <x:c r="H69" s="16" t="str">
        <x:v>U.S.</x:v>
      </x:c>
      <x:c r="I69" s="16" t="str">
        <x:v>Current</x:v>
      </x:c>
      <x:c r="J69" s="16" t="str">
        <x:v>Yes</x:v>
      </x:c>
      <x:c r="K69" s="16" t="str">
        <x:v>1-Core</x:v>
      </x:c>
      <x:c r="L69" s="16" t="str">
        <x:v>Confirm bronchoscope compatibility matrix.</x:v>
      </x:c>
      <x:c r="M69" s="16" t="str">
        <x:v>https://www.asp.com/sites/default/files/2024-04/AEROFLEX_Data_Sheet.pdf</x:v>
      </x:c>
      <x:c r="N69" s="16" t="str">
        <x:v>2026-07-24</x:v>
      </x:c>
    </x:row>
  </x:sheetData>
  <x:pageMargins left="0.7" right="0.7" top="0.75" bottom="0.75" header="0.3" footer="0.3"/>
  <x:tableParts count="1">
    <x:tablePart xmlns:r="http://schemas.openxmlformats.org/officeDocument/2006/relationships" r:id="Rc9ca17a7bcb9437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14" hidden="0" customWidth="1"/>
  </x:cols>
  <x:sheetData>
    <x:row r="1">
      <x:c r="A1" s="48" t="str">
        <x:v>Gap</x:v>
      </x:c>
      <x:c r="B1" s="48" t="str">
        <x:v>Finding</x:v>
      </x:c>
      <x:c r="C1" s="48" t="str">
        <x:v>Recommended Action</x:v>
      </x:c>
      <x:c r="D1" s="48" t="str">
        <x:v>Priority</x:v>
      </x:c>
    </x:row>
    <x:row r="2">
      <x:c r="A2" s="16" t="str">
        <x:v>Vendor-level ordering guides</x:v>
      </x:c>
      <x:c r="B2" s="16" t="str">
        <x:v>Intuitive Ion, MONARCH, Galaxy, LungVision, Ambu, Verathon and several imaging vendors expose product pages but not full public SKU/order guides.</x:v>
      </x:c>
      <x:c r="C2" s="16" t="str">
        <x:v>Request current U.S. capital and disposable ordering guides directly from account representatives.</x:v>
      </x:c>
      <x:c r="D2" s="16" t="str">
        <x:v>High</x:v>
      </x:c>
    </x:row>
    <x:row r="3">
      <x:c r="A3" s="16" t="str">
        <x:v>U.S. regulatory verification</x:v>
      </x:c>
      <x:c r="B3" s="16" t="str">
        <x:v>NOVATECH, EFER, Thoracent/MICRO-TECH stents, EWS, STERITALC and some global catalogs may not map directly to current U.S. availability.</x:v>
      </x:c>
      <x:c r="C3" s="16" t="str">
        <x:v>Validate by exact REF/catalog number against FDA database and manufacturer U.S. labeling before import.</x:v>
      </x:c>
      <x:c r="D3" s="16" t="str">
        <x:v>High</x:v>
      </x:c>
    </x:row>
    <x:row r="4">
      <x:c r="A4" s="16" t="str">
        <x:v>Laser systems</x:v>
      </x:c>
      <x:c r="B4" s="16" t="str">
        <x:v>No high-confidence, current U.S. pulmonary-specific laser catalog was identified in the public sweep.</x:v>
      </x:c>
      <x:c r="C4" s="16" t="str">
        <x:v>Query Lumenis, Boston Scientific, Olympus and local laser vendors for bronchoscopic laser fibers and generators.</x:v>
      </x:c>
      <x:c r="D4" s="16" t="str">
        <x:v>Medium</x:v>
      </x:c>
    </x:row>
    <x:row r="5">
      <x:c r="A5" s="16" t="str">
        <x:v>Jet ventilation disposables</x:v>
      </x:c>
      <x:c r="B5" s="16" t="str">
        <x:v>TwinStream public information does not expose a complete U.S. circuit/accessory ordering guide.</x:v>
      </x:c>
      <x:c r="C5" s="16" t="str">
        <x:v>Request circuit, catheter, connector and service-part catalog from Carl Reiner/U.S. distributor.</x:v>
      </x:c>
      <x:c r="D5" s="16" t="str">
        <x:v>High</x:v>
      </x:c>
    </x:row>
    <x:row r="6">
      <x:c r="A6" s="16" t="str">
        <x:v>Specimen management</x:v>
      </x:c>
      <x:c r="B6" s="16" t="str">
        <x:v>Specimen traps, fixative containers, cytology slides and pathology transport products are fragmented across general laboratory catalogs.</x:v>
      </x:c>
      <x:c r="C6" s="16" t="str">
        <x:v>Add Cardinal Health, Fisher Scientific, McKesson, CONMED and STERIS specimen-capture catalogs.</x:v>
      </x:c>
      <x:c r="D6" s="16" t="str">
        <x:v>Medium</x:v>
      </x:c>
    </x:row>
    <x:row r="7">
      <x:c r="A7" s="16" t="str">
        <x:v>Room infrastructure</x:v>
      </x:c>
      <x:c r="B7" s="16" t="str">
        <x:v>Booms, video integration, insufflation/suction, smoke evacuation, lead protection, anesthesia and room-pressure equipment were not exhaustively indexed.</x:v>
      </x:c>
      <x:c r="C7" s="16" t="str">
        <x:v>Create a separate bronchoscopy-suite infrastructure catalog rather than mixing with clinical devices.</x:v>
      </x:c>
      <x:c r="D7" s="16" t="str">
        <x:v>Medium</x:v>
      </x:c>
    </x:row>
    <x:row r="8">
      <x:c r="A8" s="16" t="str">
        <x:v>Contract data</x:v>
      </x:c>
      <x:c r="B8" s="16" t="str">
        <x:v>Public catalogs do not provide DMLSS/ECAT availability, local contract numbers or standardized manufacturer part-number crosswalks.</x:v>
      </x:c>
      <x:c r="C8" s="16" t="str">
        <x:v>Add those fields after vendor/item master matching; do not infer pricing or NSNs.</x:v>
      </x:c>
      <x:c r="D8" s="16" t="str">
        <x:v>High</x:v>
      </x:c>
    </x:row>
    <x:row r="9">
      <x:c r="A9" s="16" t="str">
        <x:v>Discontinued products</x:v>
      </x:c>
      <x:c r="B9" s="16" t="str">
        <x:v>Older pulmonary catalogs contain discontinued or unsupported products such as historical stents and thermoplasty platforms.</x:v>
      </x:c>
      <x:c r="C9" s="16" t="str">
        <x:v>Treat legacy documents as lineage/reference only and verify every active SKU against current catalog and IFU.</x:v>
      </x:c>
      <x:c r="D9" s="16" t="str">
        <x:v>High</x:v>
      </x:c>
    </x:row>
  </x:sheetData>
  <x:pageMargins left="0.7" right="0.7" top="0.75" bottom="0.75" header="0.3" footer="0.3"/>
</x:worksheet>
</file>